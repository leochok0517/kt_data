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kjst\OneDrive\바탕 화면\KT2025\190.수리과학연구소\"/>
    </mc:Choice>
  </mc:AlternateContent>
  <bookViews>
    <workbookView xWindow="0" yWindow="0" windowWidth="28800" windowHeight="12270" activeTab="1"/>
  </bookViews>
  <sheets>
    <sheet name="규격" sheetId="2" r:id="rId1"/>
    <sheet name="코드" sheetId="3" r:id="rId2"/>
  </sheets>
  <calcPr calcId="152511"/>
</workbook>
</file>

<file path=xl/calcChain.xml><?xml version="1.0" encoding="utf-8"?>
<calcChain xmlns="http://schemas.openxmlformats.org/spreadsheetml/2006/main">
  <c r="D83" i="3" l="1"/>
  <c r="D69" i="3"/>
  <c r="C36" i="2" l="1"/>
  <c r="C37" i="2"/>
  <c r="C52" i="2"/>
  <c r="C53" i="2"/>
  <c r="C40" i="2"/>
  <c r="C41" i="2"/>
  <c r="C42" i="2"/>
  <c r="C43" i="2"/>
  <c r="C44" i="2"/>
  <c r="C45" i="2"/>
  <c r="C46" i="2"/>
  <c r="C47" i="2"/>
  <c r="C48" i="2"/>
  <c r="C49" i="2"/>
  <c r="C50" i="2"/>
  <c r="C51" i="2"/>
  <c r="C39" i="2"/>
  <c r="C35" i="2"/>
  <c r="C24" i="2"/>
  <c r="C25" i="2"/>
  <c r="C26" i="2"/>
  <c r="C27" i="2"/>
  <c r="C28" i="2"/>
  <c r="C29" i="2"/>
  <c r="C30" i="2"/>
  <c r="C31" i="2"/>
  <c r="C32" i="2"/>
  <c r="C33" i="2"/>
  <c r="C34" i="2"/>
  <c r="C23" i="2"/>
  <c r="D21" i="3" l="1"/>
  <c r="D20" i="3"/>
  <c r="D71" i="3"/>
  <c r="D72" i="3"/>
  <c r="D73" i="3"/>
  <c r="D74" i="3"/>
  <c r="D75" i="3"/>
  <c r="D76" i="3"/>
  <c r="D77" i="3"/>
  <c r="D78" i="3"/>
  <c r="D79" i="3"/>
  <c r="D80" i="3"/>
  <c r="D81" i="3"/>
  <c r="D82" i="3"/>
  <c r="D70" i="3"/>
  <c r="D57" i="3"/>
  <c r="D58" i="3"/>
  <c r="D59" i="3"/>
  <c r="D60" i="3"/>
  <c r="D61" i="3"/>
  <c r="D62" i="3"/>
  <c r="D63" i="3"/>
  <c r="D64" i="3"/>
  <c r="D65" i="3"/>
  <c r="D66" i="3"/>
  <c r="D67" i="3"/>
  <c r="D68" i="3"/>
  <c r="D56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51" i="3"/>
  <c r="D50" i="3"/>
  <c r="D49" i="3"/>
  <c r="D48" i="3"/>
  <c r="D47" i="3"/>
  <c r="D46" i="3"/>
  <c r="D45" i="3"/>
  <c r="D44" i="3"/>
  <c r="D43" i="3"/>
  <c r="D35" i="3"/>
  <c r="D34" i="3"/>
  <c r="D33" i="3"/>
  <c r="D32" i="3"/>
  <c r="D31" i="3"/>
  <c r="D30" i="3"/>
  <c r="D28" i="3"/>
  <c r="D27" i="3"/>
  <c r="D23" i="3"/>
  <c r="D24" i="3"/>
  <c r="D25" i="3"/>
  <c r="D26" i="3"/>
  <c r="D29" i="3"/>
  <c r="D36" i="3"/>
  <c r="D37" i="3"/>
  <c r="D38" i="3"/>
  <c r="D39" i="3"/>
  <c r="D40" i="3"/>
  <c r="D41" i="3"/>
  <c r="D42" i="3"/>
  <c r="D52" i="3"/>
  <c r="D53" i="3"/>
  <c r="D54" i="3"/>
  <c r="D55" i="3"/>
  <c r="D22" i="3"/>
</calcChain>
</file>

<file path=xl/sharedStrings.xml><?xml version="1.0" encoding="utf-8"?>
<sst xmlns="http://schemas.openxmlformats.org/spreadsheetml/2006/main" count="707" uniqueCount="261">
  <si>
    <t>ETL_YMD</t>
  </si>
  <si>
    <t>SEX_CD</t>
  </si>
  <si>
    <t>AGE_CD</t>
  </si>
  <si>
    <t>데이터 항목 정의서</t>
    <phoneticPr fontId="18" type="noConversion"/>
  </si>
  <si>
    <t>데이터셋 명</t>
  </si>
  <si>
    <t>파일명</t>
  </si>
  <si>
    <t>시간적범위</t>
    <phoneticPr fontId="18" type="noConversion"/>
  </si>
  <si>
    <t>순번</t>
  </si>
  <si>
    <t>항목명</t>
  </si>
  <si>
    <t>항목 설명</t>
  </si>
  <si>
    <t>Null여부</t>
  </si>
  <si>
    <t>기본값</t>
  </si>
  <si>
    <t>형식</t>
  </si>
  <si>
    <t>데이터 허용범위</t>
  </si>
  <si>
    <t>비고</t>
  </si>
  <si>
    <t>N</t>
  </si>
  <si>
    <t>없음</t>
  </si>
  <si>
    <t>TIME_CD</t>
  </si>
  <si>
    <t>TIME_CD</t>
    <phoneticPr fontId="18" type="noConversion"/>
  </si>
  <si>
    <t>O_CELL_ID</t>
    <phoneticPr fontId="18" type="noConversion"/>
  </si>
  <si>
    <t>D_CELL_ID</t>
    <phoneticPr fontId="18" type="noConversion"/>
  </si>
  <si>
    <t>SEX_CD</t>
    <phoneticPr fontId="18" type="noConversion"/>
  </si>
  <si>
    <t>AGE_CD</t>
    <phoneticPr fontId="18" type="noConversion"/>
  </si>
  <si>
    <t>PURPOSE</t>
  </si>
  <si>
    <t>PURPOSE</t>
    <phoneticPr fontId="18" type="noConversion"/>
  </si>
  <si>
    <t>TOTAL</t>
    <phoneticPr fontId="18" type="noConversion"/>
  </si>
  <si>
    <t>AVG_DIST</t>
    <phoneticPr fontId="18" type="noConversion"/>
  </si>
  <si>
    <t>AVG_TIME</t>
    <phoneticPr fontId="18" type="noConversion"/>
  </si>
  <si>
    <t>기준년월일</t>
    <phoneticPr fontId="18" type="noConversion"/>
  </si>
  <si>
    <t>시간대코드</t>
    <phoneticPr fontId="18" type="noConversion"/>
  </si>
  <si>
    <t>출발격자</t>
    <phoneticPr fontId="18" type="noConversion"/>
  </si>
  <si>
    <t>도착격자</t>
    <phoneticPr fontId="18" type="noConversion"/>
  </si>
  <si>
    <t>성별 구분</t>
    <phoneticPr fontId="18" type="noConversion"/>
  </si>
  <si>
    <t>연령 구분</t>
    <phoneticPr fontId="18" type="noConversion"/>
  </si>
  <si>
    <t>이동 목적</t>
    <phoneticPr fontId="18" type="noConversion"/>
  </si>
  <si>
    <t>인구 수</t>
    <phoneticPr fontId="18" type="noConversion"/>
  </si>
  <si>
    <t>평균이동거리(100m)</t>
    <phoneticPr fontId="18" type="noConversion"/>
  </si>
  <si>
    <t>평균이동시간(10분)</t>
    <phoneticPr fontId="18" type="noConversion"/>
  </si>
  <si>
    <t>STRING</t>
    <phoneticPr fontId="18" type="noConversion"/>
  </si>
  <si>
    <t>DOUBLE</t>
    <phoneticPr fontId="18" type="noConversion"/>
  </si>
  <si>
    <t>INT</t>
    <phoneticPr fontId="18" type="noConversion"/>
  </si>
  <si>
    <t>INT</t>
    <phoneticPr fontId="18" type="noConversion"/>
  </si>
  <si>
    <t>2018.01~2023.12</t>
    <phoneticPr fontId="18" type="noConversion"/>
  </si>
  <si>
    <t>신호데이터 기반 생활이동인구</t>
  </si>
  <si>
    <t>신호데이터 기반 생활이동인구</t>
    <phoneticPr fontId="18" type="noConversion"/>
  </si>
  <si>
    <t>일별*성별*연령별*시간대별 목적 이동</t>
    <phoneticPr fontId="18" type="noConversion"/>
  </si>
  <si>
    <t>yyyyMMdd</t>
    <phoneticPr fontId="18" type="noConversion"/>
  </si>
  <si>
    <t>남, 여</t>
    <phoneticPr fontId="18" type="noConversion"/>
  </si>
  <si>
    <t>1~7</t>
    <phoneticPr fontId="18" type="noConversion"/>
  </si>
  <si>
    <t>10세 단위, 80세 이상</t>
    <phoneticPr fontId="18" type="noConversion"/>
  </si>
  <si>
    <t>00~80</t>
    <phoneticPr fontId="18" type="noConversion"/>
  </si>
  <si>
    <t>m 단위</t>
    <phoneticPr fontId="18" type="noConversion"/>
  </si>
  <si>
    <t>분 단위</t>
    <phoneticPr fontId="18" type="noConversion"/>
  </si>
  <si>
    <t>0000~2300</t>
    <phoneticPr fontId="18" type="noConversion"/>
  </si>
  <si>
    <t>0700~0900, 1700~1900 은 20분 단위, 그 외 1시간</t>
    <phoneticPr fontId="18" type="noConversion"/>
  </si>
  <si>
    <t>예시</t>
    <phoneticPr fontId="18" type="noConversion"/>
  </si>
  <si>
    <t>다사50003200</t>
    <phoneticPr fontId="18" type="noConversion"/>
  </si>
  <si>
    <t>다사49753250</t>
    <phoneticPr fontId="18" type="noConversion"/>
  </si>
  <si>
    <t>남</t>
  </si>
  <si>
    <t>남</t>
    <phoneticPr fontId="18" type="noConversion"/>
  </si>
  <si>
    <t>끝</t>
    <phoneticPr fontId="18" type="noConversion"/>
  </si>
  <si>
    <t>행정동 코드</t>
    <phoneticPr fontId="18" type="noConversion"/>
  </si>
  <si>
    <t>기준년월일</t>
    <phoneticPr fontId="18" type="noConversion"/>
  </si>
  <si>
    <t>기준년월</t>
    <phoneticPr fontId="18" type="noConversion"/>
  </si>
  <si>
    <t>DOUBLE</t>
    <phoneticPr fontId="18" type="noConversion"/>
  </si>
  <si>
    <t>yyyyMM</t>
    <phoneticPr fontId="18" type="noConversion"/>
  </si>
  <si>
    <t>행안부 행정동 코드</t>
    <phoneticPr fontId="18" type="noConversion"/>
  </si>
  <si>
    <t>8자리 행정동 코드</t>
    <phoneticPr fontId="18" type="noConversion"/>
  </si>
  <si>
    <t>월별 * 행정동별 주/야간 상주인구</t>
    <phoneticPr fontId="18" type="noConversion"/>
  </si>
  <si>
    <t>일별*시간대별*성연령별 시군구 내국인</t>
    <phoneticPr fontId="18" type="noConversion"/>
  </si>
  <si>
    <t>시군구 내국인 생활인구</t>
    <phoneticPr fontId="18" type="noConversion"/>
  </si>
  <si>
    <t>2023.01~2023.12</t>
    <phoneticPr fontId="18" type="noConversion"/>
  </si>
  <si>
    <t>TIMEZN_CD</t>
    <phoneticPr fontId="18" type="noConversion"/>
  </si>
  <si>
    <t>SEX_AGE_CD</t>
    <phoneticPr fontId="18" type="noConversion"/>
  </si>
  <si>
    <t>POP</t>
    <phoneticPr fontId="18" type="noConversion"/>
  </si>
  <si>
    <t>시간대 코드</t>
    <phoneticPr fontId="18" type="noConversion"/>
  </si>
  <si>
    <t>성별 연령 코드</t>
    <phoneticPr fontId="18" type="noConversion"/>
  </si>
  <si>
    <t>Y</t>
    <phoneticPr fontId="18" type="noConversion"/>
  </si>
  <si>
    <t>행안부 시구구 코드</t>
    <phoneticPr fontId="18" type="noConversion"/>
  </si>
  <si>
    <t>00~23</t>
    <phoneticPr fontId="18" type="noConversion"/>
  </si>
  <si>
    <t>F10</t>
    <phoneticPr fontId="18" type="noConversion"/>
  </si>
  <si>
    <t>CNTRY_NM</t>
    <phoneticPr fontId="18" type="noConversion"/>
  </si>
  <si>
    <t>국가 명</t>
    <phoneticPr fontId="18" type="noConversion"/>
  </si>
  <si>
    <t>생활인구 수</t>
    <phoneticPr fontId="18" type="noConversion"/>
  </si>
  <si>
    <t>인구 수</t>
    <phoneticPr fontId="18" type="noConversion"/>
  </si>
  <si>
    <t>네팔</t>
    <phoneticPr fontId="18" type="noConversion"/>
  </si>
  <si>
    <t>격자 중심점 좌표</t>
    <phoneticPr fontId="18" type="noConversion"/>
  </si>
  <si>
    <t>격자 중심점 데이터</t>
    <phoneticPr fontId="18" type="noConversion"/>
  </si>
  <si>
    <t>CELL_ID</t>
    <phoneticPr fontId="18" type="noConversion"/>
  </si>
  <si>
    <t>UTM_X</t>
    <phoneticPr fontId="18" type="noConversion"/>
  </si>
  <si>
    <t>UTM_Y</t>
    <phoneticPr fontId="18" type="noConversion"/>
  </si>
  <si>
    <t>250M 격자 ID</t>
    <phoneticPr fontId="18" type="noConversion"/>
  </si>
  <si>
    <t>250M 격자 X 중심점</t>
    <phoneticPr fontId="18" type="noConversion"/>
  </si>
  <si>
    <t>250M 격자 Y 중심점</t>
    <phoneticPr fontId="18" type="noConversion"/>
  </si>
  <si>
    <t>마라27008250</t>
    <phoneticPr fontId="18" type="noConversion"/>
  </si>
  <si>
    <t>테이블명</t>
    <phoneticPr fontId="18" type="noConversion"/>
  </si>
  <si>
    <t>컬럼명</t>
    <phoneticPr fontId="25" type="noConversion"/>
  </si>
  <si>
    <t>코드값</t>
    <phoneticPr fontId="25" type="noConversion"/>
  </si>
  <si>
    <t>코드설명</t>
    <phoneticPr fontId="25" type="noConversion"/>
  </si>
  <si>
    <t>00</t>
  </si>
  <si>
    <t>10</t>
  </si>
  <si>
    <t>20</t>
  </si>
  <si>
    <t>30</t>
  </si>
  <si>
    <t>40</t>
  </si>
  <si>
    <t>50</t>
  </si>
  <si>
    <t>60</t>
  </si>
  <si>
    <t>70</t>
  </si>
  <si>
    <t>80</t>
  </si>
  <si>
    <t>1</t>
  </si>
  <si>
    <t>2</t>
  </si>
  <si>
    <t>3</t>
  </si>
  <si>
    <t>4</t>
  </si>
  <si>
    <t>5</t>
  </si>
  <si>
    <t>6</t>
  </si>
  <si>
    <t>7</t>
  </si>
  <si>
    <t>여</t>
  </si>
  <si>
    <t>0000</t>
  </si>
  <si>
    <t>0100</t>
  </si>
  <si>
    <t>0200</t>
  </si>
  <si>
    <t>0300</t>
  </si>
  <si>
    <t>0400</t>
  </si>
  <si>
    <t>0500</t>
  </si>
  <si>
    <t>0600</t>
  </si>
  <si>
    <t>0700</t>
  </si>
  <si>
    <t>0720</t>
  </si>
  <si>
    <t>0740</t>
  </si>
  <si>
    <t>0800</t>
  </si>
  <si>
    <t>0820</t>
  </si>
  <si>
    <t>0840</t>
  </si>
  <si>
    <t>0900</t>
  </si>
  <si>
    <t>0920</t>
  </si>
  <si>
    <t>0940</t>
  </si>
  <si>
    <t>1000</t>
  </si>
  <si>
    <t>1100</t>
  </si>
  <si>
    <t>1200</t>
  </si>
  <si>
    <t>1300</t>
  </si>
  <si>
    <t>1400</t>
  </si>
  <si>
    <t>1500</t>
  </si>
  <si>
    <t>1600</t>
  </si>
  <si>
    <t>1700</t>
  </si>
  <si>
    <t>1720</t>
  </si>
  <si>
    <t>1740</t>
  </si>
  <si>
    <t>1800</t>
  </si>
  <si>
    <t>1820</t>
  </si>
  <si>
    <t>1840</t>
  </si>
  <si>
    <t>1900</t>
  </si>
  <si>
    <t>1920</t>
  </si>
  <si>
    <t>1940</t>
  </si>
  <si>
    <t>2000</t>
  </si>
  <si>
    <t>2100</t>
  </si>
  <si>
    <t>2200</t>
  </si>
  <si>
    <t>2300</t>
  </si>
  <si>
    <t>00~09세</t>
    <phoneticPr fontId="18" type="noConversion"/>
  </si>
  <si>
    <t>10~19세</t>
    <phoneticPr fontId="18" type="noConversion"/>
  </si>
  <si>
    <t>20~29세</t>
    <phoneticPr fontId="18" type="noConversion"/>
  </si>
  <si>
    <t>30~39세</t>
    <phoneticPr fontId="18" type="noConversion"/>
  </si>
  <si>
    <t>40~49세</t>
    <phoneticPr fontId="18" type="noConversion"/>
  </si>
  <si>
    <t>50~59세</t>
    <phoneticPr fontId="18" type="noConversion"/>
  </si>
  <si>
    <t>60~69세</t>
    <phoneticPr fontId="18" type="noConversion"/>
  </si>
  <si>
    <t>70~79세</t>
    <phoneticPr fontId="18" type="noConversion"/>
  </si>
  <si>
    <t>80세 이상</t>
    <phoneticPr fontId="18" type="noConversion"/>
  </si>
  <si>
    <t>출근</t>
    <phoneticPr fontId="18" type="noConversion"/>
  </si>
  <si>
    <t>등교</t>
    <phoneticPr fontId="18" type="noConversion"/>
  </si>
  <si>
    <t>구가</t>
    <phoneticPr fontId="18" type="noConversion"/>
  </si>
  <si>
    <t>쇼핑</t>
    <phoneticPr fontId="18" type="noConversion"/>
  </si>
  <si>
    <t>관광</t>
    <phoneticPr fontId="18" type="noConversion"/>
  </si>
  <si>
    <t>병원</t>
    <phoneticPr fontId="18" type="noConversion"/>
  </si>
  <si>
    <t>기타</t>
    <phoneticPr fontId="18" type="noConversion"/>
  </si>
  <si>
    <t>남자</t>
    <phoneticPr fontId="18" type="noConversion"/>
  </si>
  <si>
    <t>여자</t>
    <phoneticPr fontId="18" type="noConversion"/>
  </si>
  <si>
    <t>생활인구</t>
    <phoneticPr fontId="18" type="noConversion"/>
  </si>
  <si>
    <t>TIMEZN_CD</t>
    <phoneticPr fontId="18" type="noConversion"/>
  </si>
  <si>
    <t>00</t>
    <phoneticPr fontId="18" type="noConversion"/>
  </si>
  <si>
    <t>01</t>
    <phoneticPr fontId="18" type="noConversion"/>
  </si>
  <si>
    <t>02</t>
    <phoneticPr fontId="18" type="noConversion"/>
  </si>
  <si>
    <t>03</t>
    <phoneticPr fontId="18" type="noConversion"/>
  </si>
  <si>
    <t>04</t>
    <phoneticPr fontId="18" type="noConversion"/>
  </si>
  <si>
    <t>05</t>
    <phoneticPr fontId="18" type="noConversion"/>
  </si>
  <si>
    <t>06</t>
    <phoneticPr fontId="18" type="noConversion"/>
  </si>
  <si>
    <t>07</t>
    <phoneticPr fontId="18" type="noConversion"/>
  </si>
  <si>
    <t>08</t>
    <phoneticPr fontId="18" type="noConversion"/>
  </si>
  <si>
    <t>09</t>
    <phoneticPr fontId="18" type="noConversion"/>
  </si>
  <si>
    <t>SEX_AGE_CD</t>
    <phoneticPr fontId="18" type="noConversion"/>
  </si>
  <si>
    <t>F10</t>
    <phoneticPr fontId="18" type="noConversion"/>
  </si>
  <si>
    <t>F15</t>
    <phoneticPr fontId="18" type="noConversion"/>
  </si>
  <si>
    <t>F20</t>
    <phoneticPr fontId="18" type="noConversion"/>
  </si>
  <si>
    <t>F25</t>
    <phoneticPr fontId="18" type="noConversion"/>
  </si>
  <si>
    <t>F30</t>
    <phoneticPr fontId="18" type="noConversion"/>
  </si>
  <si>
    <t>F35</t>
    <phoneticPr fontId="18" type="noConversion"/>
  </si>
  <si>
    <t>F40</t>
    <phoneticPr fontId="18" type="noConversion"/>
  </si>
  <si>
    <t>F45</t>
    <phoneticPr fontId="18" type="noConversion"/>
  </si>
  <si>
    <t>F50</t>
    <phoneticPr fontId="18" type="noConversion"/>
  </si>
  <si>
    <t>F55</t>
    <phoneticPr fontId="18" type="noConversion"/>
  </si>
  <si>
    <t>F60</t>
    <phoneticPr fontId="18" type="noConversion"/>
  </si>
  <si>
    <t>F65</t>
    <phoneticPr fontId="18" type="noConversion"/>
  </si>
  <si>
    <t>F70</t>
    <phoneticPr fontId="18" type="noConversion"/>
  </si>
  <si>
    <t>F75</t>
    <phoneticPr fontId="18" type="noConversion"/>
  </si>
  <si>
    <t>M10</t>
    <phoneticPr fontId="18" type="noConversion"/>
  </si>
  <si>
    <t>M15</t>
    <phoneticPr fontId="18" type="noConversion"/>
  </si>
  <si>
    <t>M20</t>
    <phoneticPr fontId="18" type="noConversion"/>
  </si>
  <si>
    <t>M25</t>
    <phoneticPr fontId="18" type="noConversion"/>
  </si>
  <si>
    <t>M30</t>
    <phoneticPr fontId="18" type="noConversion"/>
  </si>
  <si>
    <t>M35</t>
    <phoneticPr fontId="18" type="noConversion"/>
  </si>
  <si>
    <t>M40</t>
    <phoneticPr fontId="18" type="noConversion"/>
  </si>
  <si>
    <t>M45</t>
    <phoneticPr fontId="18" type="noConversion"/>
  </si>
  <si>
    <t>M50</t>
    <phoneticPr fontId="18" type="noConversion"/>
  </si>
  <si>
    <t>M55</t>
    <phoneticPr fontId="18" type="noConversion"/>
  </si>
  <si>
    <t>M60</t>
    <phoneticPr fontId="18" type="noConversion"/>
  </si>
  <si>
    <t>M65</t>
    <phoneticPr fontId="18" type="noConversion"/>
  </si>
  <si>
    <t>M70</t>
    <phoneticPr fontId="18" type="noConversion"/>
  </si>
  <si>
    <t>M75</t>
    <phoneticPr fontId="18" type="noConversion"/>
  </si>
  <si>
    <t>MSL_yyyyMM</t>
    <phoneticPr fontId="18" type="noConversion"/>
  </si>
  <si>
    <t>MSL_CELL_INFO</t>
    <phoneticPr fontId="18" type="noConversion"/>
  </si>
  <si>
    <t>좌표계: UTM-K(EPSG: 5179)</t>
    <phoneticPr fontId="18" type="noConversion"/>
  </si>
  <si>
    <t>DAY_SOJN_CD</t>
    <phoneticPr fontId="18" type="noConversion"/>
  </si>
  <si>
    <t>NGT_SOJN_CD</t>
    <phoneticPr fontId="18" type="noConversion"/>
  </si>
  <si>
    <t>주간 상주지 행정동 코드</t>
    <phoneticPr fontId="18" type="noConversion"/>
  </si>
  <si>
    <t>야간 상주지 행정동 코드</t>
    <phoneticPr fontId="18" type="noConversion"/>
  </si>
  <si>
    <t>MALE_00</t>
    <phoneticPr fontId="18" type="noConversion"/>
  </si>
  <si>
    <t>MALE_10</t>
    <phoneticPr fontId="18" type="noConversion"/>
  </si>
  <si>
    <t>MALE_15</t>
    <phoneticPr fontId="18" type="noConversion"/>
  </si>
  <si>
    <t>MALE_20</t>
    <phoneticPr fontId="18" type="noConversion"/>
  </si>
  <si>
    <t>MALE_25</t>
    <phoneticPr fontId="18" type="noConversion"/>
  </si>
  <si>
    <t>MALE_30</t>
    <phoneticPr fontId="18" type="noConversion"/>
  </si>
  <si>
    <t>MALE_35</t>
    <phoneticPr fontId="18" type="noConversion"/>
  </si>
  <si>
    <t>MALE_40</t>
    <phoneticPr fontId="18" type="noConversion"/>
  </si>
  <si>
    <t>MALE_45</t>
    <phoneticPr fontId="18" type="noConversion"/>
  </si>
  <si>
    <t>MALE_50</t>
    <phoneticPr fontId="18" type="noConversion"/>
  </si>
  <si>
    <t>MALE_55</t>
    <phoneticPr fontId="18" type="noConversion"/>
  </si>
  <si>
    <t>MALE_60</t>
    <phoneticPr fontId="18" type="noConversion"/>
  </si>
  <si>
    <t>MALE_65</t>
    <phoneticPr fontId="18" type="noConversion"/>
  </si>
  <si>
    <t>MALE_70</t>
    <phoneticPr fontId="18" type="noConversion"/>
  </si>
  <si>
    <t>MALE_75</t>
    <phoneticPr fontId="18" type="noConversion"/>
  </si>
  <si>
    <t>FEML_00</t>
  </si>
  <si>
    <t>FEML_10</t>
  </si>
  <si>
    <t>FEML_15</t>
  </si>
  <si>
    <t>FEML_20</t>
  </si>
  <si>
    <t>FEML_25</t>
  </si>
  <si>
    <t>FEML_30</t>
  </si>
  <si>
    <t>FEML_35</t>
  </si>
  <si>
    <t>FEML_40</t>
  </si>
  <si>
    <t>FEML_45</t>
  </si>
  <si>
    <t>FEML_50</t>
  </si>
  <si>
    <t>FEML_55</t>
  </si>
  <si>
    <t>FEML_60</t>
  </si>
  <si>
    <t>FEML_65</t>
  </si>
  <si>
    <t>FEML_70</t>
  </si>
  <si>
    <t>남자 00~09세 상주인구 수</t>
    <phoneticPr fontId="18" type="noConversion"/>
  </si>
  <si>
    <t>여자 00~09세 상주인구 수</t>
    <phoneticPr fontId="18" type="noConversion"/>
  </si>
  <si>
    <t>MSL_SOJN_yyyyMM</t>
    <phoneticPr fontId="18" type="noConversion"/>
  </si>
  <si>
    <t>MSL_NATIVE_LIVEPOP_yyyyMM</t>
    <phoneticPr fontId="18" type="noConversion"/>
  </si>
  <si>
    <t>MSL_FORN_LIVEPOP_yyyyMM</t>
    <phoneticPr fontId="18" type="noConversion"/>
  </si>
  <si>
    <t>시군구 외국인 생활인구</t>
    <phoneticPr fontId="18" type="noConversion"/>
  </si>
  <si>
    <t>일별*시간대별*국적별 시군구 외국인</t>
    <phoneticPr fontId="18" type="noConversion"/>
  </si>
  <si>
    <t>ETL_YM</t>
    <phoneticPr fontId="18" type="noConversion"/>
  </si>
  <si>
    <t>ETL_YMD</t>
    <phoneticPr fontId="18" type="noConversion"/>
  </si>
  <si>
    <t>ADMDONG_CD</t>
    <phoneticPr fontId="18" type="noConversion"/>
  </si>
  <si>
    <t>ETL_YMD</t>
    <phoneticPr fontId="18" type="noConversion"/>
  </si>
  <si>
    <t>FEML_75</t>
    <phoneticPr fontId="18" type="noConversion"/>
  </si>
  <si>
    <t>FEML_80</t>
    <phoneticPr fontId="18" type="noConversion"/>
  </si>
  <si>
    <t>MALE_80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</si>
</sst>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나눔고딕"/>
      <family val="3"/>
      <charset val="129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9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0" fillId="34" borderId="14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4" xfId="42" applyFont="1" applyBorder="1" applyAlignment="1">
      <alignment vertical="center"/>
    </xf>
    <xf numFmtId="0" fontId="21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2" fillId="0" borderId="17" xfId="42" applyFont="1" applyBorder="1" applyAlignment="1">
      <alignment vertical="center"/>
    </xf>
    <xf numFmtId="0" fontId="21" fillId="0" borderId="17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20" fillId="34" borderId="20" xfId="0" applyFont="1" applyFill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21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22" fillId="0" borderId="23" xfId="42" applyFont="1" applyBorder="1" applyAlignment="1">
      <alignment vertical="center"/>
    </xf>
    <xf numFmtId="0" fontId="21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0" fillId="33" borderId="27" xfId="0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0" fillId="36" borderId="14" xfId="0" applyFill="1" applyBorder="1" applyAlignment="1"/>
    <xf numFmtId="0" fontId="0" fillId="34" borderId="14" xfId="0" applyFill="1" applyBorder="1" applyAlignment="1"/>
    <xf numFmtId="0" fontId="0" fillId="34" borderId="14" xfId="0" applyFill="1" applyBorder="1">
      <alignment vertical="center"/>
    </xf>
    <xf numFmtId="0" fontId="0" fillId="0" borderId="14" xfId="0" applyFill="1" applyBorder="1">
      <alignment vertical="center"/>
    </xf>
    <xf numFmtId="49" fontId="0" fillId="0" borderId="14" xfId="0" applyNumberFormat="1" applyBorder="1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25" xfId="0" applyBorder="1" applyAlignment="1"/>
    <xf numFmtId="0" fontId="0" fillId="0" borderId="12" xfId="0" applyBorder="1" applyAlignment="1"/>
    <xf numFmtId="0" fontId="20" fillId="33" borderId="19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21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1" xfId="0" applyBorder="1" applyAlignment="1">
      <alignment vertical="center"/>
    </xf>
    <xf numFmtId="0" fontId="20" fillId="33" borderId="13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21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17" fillId="35" borderId="31" xfId="0" applyFont="1" applyFill="1" applyBorder="1" applyAlignment="1">
      <alignment horizontal="center" vertical="center"/>
    </xf>
    <xf numFmtId="0" fontId="24" fillId="35" borderId="30" xfId="0" applyFont="1" applyFill="1" applyBorder="1" applyAlignment="1">
      <alignment horizontal="center" vertical="center"/>
    </xf>
    <xf numFmtId="0" fontId="24" fillId="35" borderId="32" xfId="0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3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zoomScaleNormal="100" workbookViewId="0">
      <selection activeCell="H18" sqref="H18"/>
    </sheetView>
  </sheetViews>
  <sheetFormatPr defaultRowHeight="16.5"/>
  <cols>
    <col min="1" max="1" width="6" bestFit="1" customWidth="1"/>
    <col min="2" max="2" width="17.5" bestFit="1" customWidth="1"/>
    <col min="3" max="3" width="24.125" customWidth="1"/>
    <col min="4" max="4" width="8.375" bestFit="1" customWidth="1"/>
    <col min="5" max="5" width="8.125" bestFit="1" customWidth="1"/>
    <col min="6" max="6" width="14.75" customWidth="1"/>
    <col min="7" max="8" width="35.875" customWidth="1"/>
    <col min="9" max="9" width="49.375" bestFit="1" customWidth="1"/>
  </cols>
  <sheetData>
    <row r="1" spans="1:9" ht="43.5" customHeight="1" thickBot="1">
      <c r="A1" s="33" t="s">
        <v>3</v>
      </c>
      <c r="B1" s="34"/>
      <c r="C1" s="34"/>
      <c r="D1" s="34"/>
      <c r="E1" s="34"/>
      <c r="F1" s="34"/>
      <c r="G1" s="34"/>
      <c r="H1" s="35"/>
      <c r="I1" s="36"/>
    </row>
    <row r="2" spans="1:9">
      <c r="A2" s="37" t="s">
        <v>4</v>
      </c>
      <c r="B2" s="38"/>
      <c r="C2" s="39" t="s">
        <v>45</v>
      </c>
      <c r="D2" s="38"/>
      <c r="E2" s="38"/>
      <c r="F2" s="16" t="s">
        <v>5</v>
      </c>
      <c r="G2" s="40" t="s">
        <v>211</v>
      </c>
      <c r="H2" s="41"/>
      <c r="I2" s="42"/>
    </row>
    <row r="3" spans="1:9">
      <c r="A3" s="43" t="s">
        <v>4</v>
      </c>
      <c r="B3" s="44"/>
      <c r="C3" s="45" t="s">
        <v>44</v>
      </c>
      <c r="D3" s="44"/>
      <c r="E3" s="44"/>
      <c r="F3" s="1" t="s">
        <v>6</v>
      </c>
      <c r="G3" s="46" t="s">
        <v>42</v>
      </c>
      <c r="H3" s="47"/>
      <c r="I3" s="48"/>
    </row>
    <row r="4" spans="1:9" ht="27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24" t="s">
        <v>55</v>
      </c>
      <c r="I4" s="4" t="s">
        <v>14</v>
      </c>
    </row>
    <row r="5" spans="1:9">
      <c r="A5" s="5">
        <v>1</v>
      </c>
      <c r="B5" s="15" t="s">
        <v>0</v>
      </c>
      <c r="C5" s="6" t="s">
        <v>28</v>
      </c>
      <c r="D5" s="7" t="s">
        <v>15</v>
      </c>
      <c r="E5" s="7" t="s">
        <v>16</v>
      </c>
      <c r="F5" s="8" t="s">
        <v>38</v>
      </c>
      <c r="G5" s="7" t="s">
        <v>46</v>
      </c>
      <c r="H5" s="25">
        <v>20220901</v>
      </c>
      <c r="I5" s="9"/>
    </row>
    <row r="6" spans="1:9">
      <c r="A6" s="5">
        <v>2</v>
      </c>
      <c r="B6" s="15" t="s">
        <v>18</v>
      </c>
      <c r="C6" s="6" t="s">
        <v>29</v>
      </c>
      <c r="D6" s="7" t="s">
        <v>15</v>
      </c>
      <c r="E6" s="7" t="s">
        <v>16</v>
      </c>
      <c r="F6" s="8" t="s">
        <v>38</v>
      </c>
      <c r="G6" s="7" t="s">
        <v>53</v>
      </c>
      <c r="H6" s="25">
        <v>100</v>
      </c>
      <c r="I6" s="9" t="s">
        <v>54</v>
      </c>
    </row>
    <row r="7" spans="1:9">
      <c r="A7" s="5">
        <v>3</v>
      </c>
      <c r="B7" s="15" t="s">
        <v>19</v>
      </c>
      <c r="C7" s="6" t="s">
        <v>30</v>
      </c>
      <c r="D7" s="7" t="s">
        <v>15</v>
      </c>
      <c r="E7" s="7" t="s">
        <v>16</v>
      </c>
      <c r="F7" s="8" t="s">
        <v>38</v>
      </c>
      <c r="G7" s="7"/>
      <c r="H7" s="25" t="s">
        <v>56</v>
      </c>
      <c r="I7" s="9"/>
    </row>
    <row r="8" spans="1:9">
      <c r="A8" s="5">
        <v>4</v>
      </c>
      <c r="B8" s="15" t="s">
        <v>20</v>
      </c>
      <c r="C8" s="6" t="s">
        <v>31</v>
      </c>
      <c r="D8" s="7" t="s">
        <v>15</v>
      </c>
      <c r="E8" s="7" t="s">
        <v>16</v>
      </c>
      <c r="F8" s="8" t="s">
        <v>38</v>
      </c>
      <c r="G8" s="7"/>
      <c r="H8" s="25" t="s">
        <v>57</v>
      </c>
      <c r="I8" s="9"/>
    </row>
    <row r="9" spans="1:9">
      <c r="A9" s="5">
        <v>5</v>
      </c>
      <c r="B9" s="15" t="s">
        <v>21</v>
      </c>
      <c r="C9" s="6" t="s">
        <v>32</v>
      </c>
      <c r="D9" s="7" t="s">
        <v>15</v>
      </c>
      <c r="E9" s="7" t="s">
        <v>16</v>
      </c>
      <c r="F9" s="8" t="s">
        <v>38</v>
      </c>
      <c r="G9" s="7" t="s">
        <v>47</v>
      </c>
      <c r="H9" s="25" t="s">
        <v>59</v>
      </c>
      <c r="I9" s="9"/>
    </row>
    <row r="10" spans="1:9">
      <c r="A10" s="5">
        <v>6</v>
      </c>
      <c r="B10" s="15" t="s">
        <v>22</v>
      </c>
      <c r="C10" s="6" t="s">
        <v>33</v>
      </c>
      <c r="D10" s="7" t="s">
        <v>15</v>
      </c>
      <c r="E10" s="7" t="s">
        <v>16</v>
      </c>
      <c r="F10" s="8" t="s">
        <v>38</v>
      </c>
      <c r="G10" s="7" t="s">
        <v>50</v>
      </c>
      <c r="H10" s="25">
        <v>30</v>
      </c>
      <c r="I10" s="9" t="s">
        <v>49</v>
      </c>
    </row>
    <row r="11" spans="1:9">
      <c r="A11" s="5">
        <v>7</v>
      </c>
      <c r="B11" s="15" t="s">
        <v>24</v>
      </c>
      <c r="C11" s="6" t="s">
        <v>34</v>
      </c>
      <c r="D11" s="7" t="s">
        <v>15</v>
      </c>
      <c r="E11" s="7" t="s">
        <v>16</v>
      </c>
      <c r="F11" s="8" t="s">
        <v>38</v>
      </c>
      <c r="G11" s="7" t="s">
        <v>48</v>
      </c>
      <c r="H11" s="25">
        <v>7</v>
      </c>
      <c r="I11" s="9"/>
    </row>
    <row r="12" spans="1:9">
      <c r="A12" s="18">
        <v>8</v>
      </c>
      <c r="B12" s="19" t="s">
        <v>25</v>
      </c>
      <c r="C12" s="20" t="s">
        <v>35</v>
      </c>
      <c r="D12" s="7" t="s">
        <v>15</v>
      </c>
      <c r="E12" s="7" t="s">
        <v>16</v>
      </c>
      <c r="F12" s="22" t="s">
        <v>39</v>
      </c>
      <c r="G12" s="21"/>
      <c r="H12" s="26">
        <v>3.33</v>
      </c>
      <c r="I12" s="23"/>
    </row>
    <row r="13" spans="1:9">
      <c r="A13" s="18">
        <v>9</v>
      </c>
      <c r="B13" s="19" t="s">
        <v>26</v>
      </c>
      <c r="C13" s="20" t="s">
        <v>36</v>
      </c>
      <c r="D13" s="7" t="s">
        <v>15</v>
      </c>
      <c r="E13" s="7" t="s">
        <v>16</v>
      </c>
      <c r="F13" s="22" t="s">
        <v>40</v>
      </c>
      <c r="G13" s="21"/>
      <c r="H13" s="26">
        <v>600</v>
      </c>
      <c r="I13" s="23" t="s">
        <v>51</v>
      </c>
    </row>
    <row r="14" spans="1:9" ht="17.25" thickBot="1">
      <c r="A14" s="10">
        <v>10</v>
      </c>
      <c r="B14" s="17" t="s">
        <v>27</v>
      </c>
      <c r="C14" s="11" t="s">
        <v>37</v>
      </c>
      <c r="D14" s="12" t="s">
        <v>15</v>
      </c>
      <c r="E14" s="12" t="s">
        <v>16</v>
      </c>
      <c r="F14" s="13" t="s">
        <v>41</v>
      </c>
      <c r="G14" s="12"/>
      <c r="H14" s="27">
        <v>20</v>
      </c>
      <c r="I14" s="14" t="s">
        <v>52</v>
      </c>
    </row>
    <row r="15" spans="1:9" ht="17.25" thickBot="1">
      <c r="A15" s="49" t="s">
        <v>60</v>
      </c>
      <c r="B15" s="50"/>
      <c r="C15" s="50"/>
      <c r="D15" s="50"/>
      <c r="E15" s="50"/>
      <c r="F15" s="50"/>
      <c r="G15" s="50"/>
      <c r="H15" s="50"/>
      <c r="I15" s="51"/>
    </row>
    <row r="16" spans="1:9">
      <c r="A16" s="37" t="s">
        <v>4</v>
      </c>
      <c r="B16" s="38"/>
      <c r="C16" s="39" t="s">
        <v>68</v>
      </c>
      <c r="D16" s="38"/>
      <c r="E16" s="38"/>
      <c r="F16" s="16" t="s">
        <v>5</v>
      </c>
      <c r="G16" s="40" t="s">
        <v>249</v>
      </c>
      <c r="H16" s="41"/>
      <c r="I16" s="42"/>
    </row>
    <row r="17" spans="1:9">
      <c r="A17" s="43" t="s">
        <v>4</v>
      </c>
      <c r="B17" s="44"/>
      <c r="C17" s="45" t="s">
        <v>44</v>
      </c>
      <c r="D17" s="44"/>
      <c r="E17" s="44"/>
      <c r="F17" s="1" t="s">
        <v>6</v>
      </c>
      <c r="G17" s="46" t="s">
        <v>42</v>
      </c>
      <c r="H17" s="47"/>
      <c r="I17" s="48"/>
    </row>
    <row r="18" spans="1:9" ht="27">
      <c r="A18" s="2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13</v>
      </c>
      <c r="H18" s="24" t="s">
        <v>55</v>
      </c>
      <c r="I18" s="4" t="s">
        <v>14</v>
      </c>
    </row>
    <row r="19" spans="1:9">
      <c r="A19" s="5">
        <v>1</v>
      </c>
      <c r="B19" s="15" t="s">
        <v>254</v>
      </c>
      <c r="C19" s="6" t="s">
        <v>63</v>
      </c>
      <c r="D19" s="7" t="s">
        <v>15</v>
      </c>
      <c r="E19" s="7" t="s">
        <v>16</v>
      </c>
      <c r="F19" s="8" t="s">
        <v>38</v>
      </c>
      <c r="G19" s="7" t="s">
        <v>65</v>
      </c>
      <c r="H19" s="25">
        <v>201801</v>
      </c>
      <c r="I19" s="9"/>
    </row>
    <row r="20" spans="1:9">
      <c r="A20" s="5">
        <v>2</v>
      </c>
      <c r="B20" s="15" t="s">
        <v>214</v>
      </c>
      <c r="C20" s="6" t="s">
        <v>216</v>
      </c>
      <c r="D20" s="7" t="s">
        <v>15</v>
      </c>
      <c r="E20" s="7" t="s">
        <v>16</v>
      </c>
      <c r="F20" s="8" t="s">
        <v>38</v>
      </c>
      <c r="G20" s="7" t="s">
        <v>66</v>
      </c>
      <c r="H20" s="25">
        <v>11110515</v>
      </c>
      <c r="I20" s="9" t="s">
        <v>67</v>
      </c>
    </row>
    <row r="21" spans="1:9">
      <c r="A21" s="5">
        <v>3</v>
      </c>
      <c r="B21" s="15" t="s">
        <v>215</v>
      </c>
      <c r="C21" s="6" t="s">
        <v>217</v>
      </c>
      <c r="D21" s="7" t="s">
        <v>15</v>
      </c>
      <c r="E21" s="7" t="s">
        <v>16</v>
      </c>
      <c r="F21" s="8" t="s">
        <v>38</v>
      </c>
      <c r="G21" s="7" t="s">
        <v>66</v>
      </c>
      <c r="H21" s="25">
        <v>11110515</v>
      </c>
      <c r="I21" s="9" t="s">
        <v>67</v>
      </c>
    </row>
    <row r="22" spans="1:9">
      <c r="A22" s="5">
        <v>4</v>
      </c>
      <c r="B22" s="15" t="s">
        <v>218</v>
      </c>
      <c r="C22" s="6" t="s">
        <v>247</v>
      </c>
      <c r="D22" s="7" t="s">
        <v>15</v>
      </c>
      <c r="E22" s="7" t="s">
        <v>16</v>
      </c>
      <c r="F22" s="8" t="s">
        <v>39</v>
      </c>
      <c r="G22" s="7"/>
      <c r="H22" s="25">
        <v>0</v>
      </c>
      <c r="I22" s="9"/>
    </row>
    <row r="23" spans="1:9">
      <c r="A23" s="5">
        <v>5</v>
      </c>
      <c r="B23" s="15" t="s">
        <v>219</v>
      </c>
      <c r="C23" s="6" t="str">
        <f>CONCATENATE("남자 ", RIGHT(B23,2), "~", RIGHT(B23,2)+4, "세 상주인구 수")</f>
        <v>남자 10~14세 상주인구 수</v>
      </c>
      <c r="D23" s="7" t="s">
        <v>15</v>
      </c>
      <c r="E23" s="7" t="s">
        <v>16</v>
      </c>
      <c r="F23" s="8" t="s">
        <v>39</v>
      </c>
      <c r="G23" s="7"/>
      <c r="H23" s="25">
        <v>297.36</v>
      </c>
      <c r="I23" s="9"/>
    </row>
    <row r="24" spans="1:9">
      <c r="A24" s="5">
        <v>6</v>
      </c>
      <c r="B24" s="15" t="s">
        <v>220</v>
      </c>
      <c r="C24" s="6" t="str">
        <f t="shared" ref="C24:C34" si="0">CONCATENATE("남자 ", RIGHT(B24,2), "~", RIGHT(B24,2)+4, "세 상주인구 수")</f>
        <v>남자 15~19세 상주인구 수</v>
      </c>
      <c r="D24" s="7" t="s">
        <v>15</v>
      </c>
      <c r="E24" s="7" t="s">
        <v>16</v>
      </c>
      <c r="F24" s="8" t="s">
        <v>39</v>
      </c>
      <c r="G24" s="7"/>
      <c r="H24" s="25">
        <v>275.56</v>
      </c>
      <c r="I24" s="9"/>
    </row>
    <row r="25" spans="1:9">
      <c r="A25" s="5">
        <v>7</v>
      </c>
      <c r="B25" s="15" t="s">
        <v>221</v>
      </c>
      <c r="C25" s="6" t="str">
        <f t="shared" si="0"/>
        <v>남자 20~24세 상주인구 수</v>
      </c>
      <c r="D25" s="7" t="s">
        <v>15</v>
      </c>
      <c r="E25" s="7" t="s">
        <v>16</v>
      </c>
      <c r="F25" s="8" t="s">
        <v>39</v>
      </c>
      <c r="G25" s="7"/>
      <c r="H25" s="25">
        <v>256.23</v>
      </c>
      <c r="I25" s="9"/>
    </row>
    <row r="26" spans="1:9">
      <c r="A26" s="5">
        <v>8</v>
      </c>
      <c r="B26" s="15" t="s">
        <v>222</v>
      </c>
      <c r="C26" s="6" t="str">
        <f t="shared" si="0"/>
        <v>남자 25~29세 상주인구 수</v>
      </c>
      <c r="D26" s="7" t="s">
        <v>15</v>
      </c>
      <c r="E26" s="7" t="s">
        <v>16</v>
      </c>
      <c r="F26" s="8" t="s">
        <v>39</v>
      </c>
      <c r="G26" s="7"/>
      <c r="H26" s="25">
        <v>241.82</v>
      </c>
      <c r="I26" s="9"/>
    </row>
    <row r="27" spans="1:9">
      <c r="A27" s="5">
        <v>9</v>
      </c>
      <c r="B27" s="15" t="s">
        <v>223</v>
      </c>
      <c r="C27" s="6" t="str">
        <f t="shared" si="0"/>
        <v>남자 30~34세 상주인구 수</v>
      </c>
      <c r="D27" s="7" t="s">
        <v>15</v>
      </c>
      <c r="E27" s="7" t="s">
        <v>16</v>
      </c>
      <c r="F27" s="8" t="s">
        <v>39</v>
      </c>
      <c r="G27" s="7"/>
      <c r="H27" s="25">
        <v>183.12</v>
      </c>
      <c r="I27" s="9"/>
    </row>
    <row r="28" spans="1:9">
      <c r="A28" s="5">
        <v>10</v>
      </c>
      <c r="B28" s="15" t="s">
        <v>224</v>
      </c>
      <c r="C28" s="6" t="str">
        <f t="shared" si="0"/>
        <v>남자 35~39세 상주인구 수</v>
      </c>
      <c r="D28" s="7" t="s">
        <v>15</v>
      </c>
      <c r="E28" s="7" t="s">
        <v>16</v>
      </c>
      <c r="F28" s="8" t="s">
        <v>39</v>
      </c>
      <c r="G28" s="7"/>
      <c r="H28" s="25">
        <v>210.54</v>
      </c>
      <c r="I28" s="9"/>
    </row>
    <row r="29" spans="1:9">
      <c r="A29" s="5">
        <v>11</v>
      </c>
      <c r="B29" s="15" t="s">
        <v>225</v>
      </c>
      <c r="C29" s="6" t="str">
        <f t="shared" si="0"/>
        <v>남자 40~44세 상주인구 수</v>
      </c>
      <c r="D29" s="7" t="s">
        <v>15</v>
      </c>
      <c r="E29" s="7" t="s">
        <v>16</v>
      </c>
      <c r="F29" s="8" t="s">
        <v>39</v>
      </c>
      <c r="G29" s="7"/>
      <c r="H29" s="25">
        <v>219.95</v>
      </c>
      <c r="I29" s="9"/>
    </row>
    <row r="30" spans="1:9">
      <c r="A30" s="5">
        <v>12</v>
      </c>
      <c r="B30" s="15" t="s">
        <v>226</v>
      </c>
      <c r="C30" s="6" t="str">
        <f t="shared" si="0"/>
        <v>남자 45~49세 상주인구 수</v>
      </c>
      <c r="D30" s="7" t="s">
        <v>15</v>
      </c>
      <c r="E30" s="7" t="s">
        <v>16</v>
      </c>
      <c r="F30" s="8" t="s">
        <v>39</v>
      </c>
      <c r="G30" s="7"/>
      <c r="H30" s="25">
        <v>291.02999999999997</v>
      </c>
      <c r="I30" s="9"/>
    </row>
    <row r="31" spans="1:9">
      <c r="A31" s="5">
        <v>13</v>
      </c>
      <c r="B31" s="15" t="s">
        <v>227</v>
      </c>
      <c r="C31" s="6" t="str">
        <f t="shared" si="0"/>
        <v>남자 50~54세 상주인구 수</v>
      </c>
      <c r="D31" s="7" t="s">
        <v>15</v>
      </c>
      <c r="E31" s="7" t="s">
        <v>16</v>
      </c>
      <c r="F31" s="8" t="s">
        <v>39</v>
      </c>
      <c r="G31" s="7"/>
      <c r="H31" s="25">
        <v>257.52</v>
      </c>
      <c r="I31" s="9"/>
    </row>
    <row r="32" spans="1:9">
      <c r="A32" s="5">
        <v>14</v>
      </c>
      <c r="B32" s="15" t="s">
        <v>228</v>
      </c>
      <c r="C32" s="6" t="str">
        <f t="shared" si="0"/>
        <v>남자 55~59세 상주인구 수</v>
      </c>
      <c r="D32" s="7" t="s">
        <v>15</v>
      </c>
      <c r="E32" s="7" t="s">
        <v>16</v>
      </c>
      <c r="F32" s="8" t="s">
        <v>39</v>
      </c>
      <c r="G32" s="7"/>
      <c r="H32" s="25">
        <v>273.88</v>
      </c>
      <c r="I32" s="9"/>
    </row>
    <row r="33" spans="1:9">
      <c r="A33" s="5">
        <v>15</v>
      </c>
      <c r="B33" s="15" t="s">
        <v>229</v>
      </c>
      <c r="C33" s="6" t="str">
        <f t="shared" si="0"/>
        <v>남자 60~64세 상주인구 수</v>
      </c>
      <c r="D33" s="7" t="s">
        <v>15</v>
      </c>
      <c r="E33" s="7" t="s">
        <v>16</v>
      </c>
      <c r="F33" s="8" t="s">
        <v>39</v>
      </c>
      <c r="G33" s="7"/>
      <c r="H33" s="25">
        <v>244.53</v>
      </c>
      <c r="I33" s="9"/>
    </row>
    <row r="34" spans="1:9">
      <c r="A34" s="5">
        <v>16</v>
      </c>
      <c r="B34" s="15" t="s">
        <v>230</v>
      </c>
      <c r="C34" s="6" t="str">
        <f t="shared" si="0"/>
        <v>남자 65~69세 상주인구 수</v>
      </c>
      <c r="D34" s="7" t="s">
        <v>15</v>
      </c>
      <c r="E34" s="7" t="s">
        <v>16</v>
      </c>
      <c r="F34" s="8" t="s">
        <v>39</v>
      </c>
      <c r="G34" s="7"/>
      <c r="H34" s="25">
        <v>142.83000000000001</v>
      </c>
      <c r="I34" s="9"/>
    </row>
    <row r="35" spans="1:9">
      <c r="A35" s="5">
        <v>17</v>
      </c>
      <c r="B35" s="15" t="s">
        <v>231</v>
      </c>
      <c r="C35" s="6" t="str">
        <f>CONCATENATE("남자 ", RIGHT(B35,2), "~", RIGHT(B35,2)+4, "세 상주인구 수")</f>
        <v>남자 70~74세 상주인구 수</v>
      </c>
      <c r="D35" s="7" t="s">
        <v>15</v>
      </c>
      <c r="E35" s="7" t="s">
        <v>16</v>
      </c>
      <c r="F35" s="8" t="s">
        <v>39</v>
      </c>
      <c r="G35" s="7"/>
      <c r="H35" s="25">
        <v>168</v>
      </c>
      <c r="I35" s="9"/>
    </row>
    <row r="36" spans="1:9">
      <c r="A36" s="5">
        <v>18</v>
      </c>
      <c r="B36" s="15" t="s">
        <v>232</v>
      </c>
      <c r="C36" s="6" t="str">
        <f>CONCATENATE("남자 ", RIGHT(B36,2), "~", RIGHT(B36,2)+4, "세 상주인구 수")</f>
        <v>남자 75~79세 상주인구 수</v>
      </c>
      <c r="D36" s="7" t="s">
        <v>15</v>
      </c>
      <c r="E36" s="7" t="s">
        <v>16</v>
      </c>
      <c r="F36" s="8" t="s">
        <v>39</v>
      </c>
      <c r="G36" s="7"/>
      <c r="H36" s="25">
        <v>177.54</v>
      </c>
      <c r="I36" s="9"/>
    </row>
    <row r="37" spans="1:9">
      <c r="A37" s="5">
        <v>19</v>
      </c>
      <c r="B37" s="15" t="s">
        <v>260</v>
      </c>
      <c r="C37" s="6" t="str">
        <f>CONCATENATE("남자 ", RIGHT(B37,2),"세 이상 상주인구 수")</f>
        <v>남자 80세 이상 상주인구 수</v>
      </c>
      <c r="D37" s="7" t="s">
        <v>15</v>
      </c>
      <c r="E37" s="7" t="s">
        <v>16</v>
      </c>
      <c r="F37" s="8" t="s">
        <v>39</v>
      </c>
      <c r="G37" s="7"/>
      <c r="H37" s="25">
        <v>146.87</v>
      </c>
      <c r="I37" s="9"/>
    </row>
    <row r="38" spans="1:9">
      <c r="A38" s="5">
        <v>20</v>
      </c>
      <c r="B38" s="15" t="s">
        <v>233</v>
      </c>
      <c r="C38" s="6" t="s">
        <v>248</v>
      </c>
      <c r="D38" s="7" t="s">
        <v>15</v>
      </c>
      <c r="E38" s="7" t="s">
        <v>16</v>
      </c>
      <c r="F38" s="8" t="s">
        <v>39</v>
      </c>
      <c r="G38" s="7"/>
      <c r="H38" s="25">
        <v>0</v>
      </c>
      <c r="I38" s="9"/>
    </row>
    <row r="39" spans="1:9">
      <c r="A39" s="5">
        <v>21</v>
      </c>
      <c r="B39" s="15" t="s">
        <v>234</v>
      </c>
      <c r="C39" s="6" t="str">
        <f>CONCATENATE("여자 ", RIGHT(B39,2), "~", RIGHT(B39,2)+4, "세 상주인구 수")</f>
        <v>여자 10~14세 상주인구 수</v>
      </c>
      <c r="D39" s="7" t="s">
        <v>15</v>
      </c>
      <c r="E39" s="7" t="s">
        <v>16</v>
      </c>
      <c r="F39" s="8" t="s">
        <v>39</v>
      </c>
      <c r="G39" s="7"/>
      <c r="H39" s="25">
        <v>248.16</v>
      </c>
      <c r="I39" s="9"/>
    </row>
    <row r="40" spans="1:9">
      <c r="A40" s="5">
        <v>22</v>
      </c>
      <c r="B40" s="15" t="s">
        <v>235</v>
      </c>
      <c r="C40" s="6" t="str">
        <f t="shared" ref="C40:C52" si="1">CONCATENATE("여자 ", RIGHT(B40,2), "~", RIGHT(B40,2)+4, "세 상주인구 수")</f>
        <v>여자 15~19세 상주인구 수</v>
      </c>
      <c r="D40" s="7" t="s">
        <v>15</v>
      </c>
      <c r="E40" s="7" t="s">
        <v>16</v>
      </c>
      <c r="F40" s="8" t="s">
        <v>39</v>
      </c>
      <c r="G40" s="7"/>
      <c r="H40" s="25">
        <v>246.01</v>
      </c>
      <c r="I40" s="9"/>
    </row>
    <row r="41" spans="1:9">
      <c r="A41" s="5">
        <v>23</v>
      </c>
      <c r="B41" s="15" t="s">
        <v>236</v>
      </c>
      <c r="C41" s="6" t="str">
        <f t="shared" si="1"/>
        <v>여자 20~24세 상주인구 수</v>
      </c>
      <c r="D41" s="7" t="s">
        <v>15</v>
      </c>
      <c r="E41" s="7" t="s">
        <v>16</v>
      </c>
      <c r="F41" s="8" t="s">
        <v>39</v>
      </c>
      <c r="G41" s="7"/>
      <c r="H41" s="25">
        <v>238.68</v>
      </c>
      <c r="I41" s="9"/>
    </row>
    <row r="42" spans="1:9">
      <c r="A42" s="5">
        <v>24</v>
      </c>
      <c r="B42" s="15" t="s">
        <v>237</v>
      </c>
      <c r="C42" s="6" t="str">
        <f t="shared" si="1"/>
        <v>여자 25~29세 상주인구 수</v>
      </c>
      <c r="D42" s="7" t="s">
        <v>15</v>
      </c>
      <c r="E42" s="7" t="s">
        <v>16</v>
      </c>
      <c r="F42" s="8" t="s">
        <v>39</v>
      </c>
      <c r="G42" s="7"/>
      <c r="H42" s="25">
        <v>150.08000000000001</v>
      </c>
      <c r="I42" s="9"/>
    </row>
    <row r="43" spans="1:9">
      <c r="A43" s="5">
        <v>25</v>
      </c>
      <c r="B43" s="15" t="s">
        <v>238</v>
      </c>
      <c r="C43" s="6" t="str">
        <f t="shared" si="1"/>
        <v>여자 30~34세 상주인구 수</v>
      </c>
      <c r="D43" s="7" t="s">
        <v>15</v>
      </c>
      <c r="E43" s="7" t="s">
        <v>16</v>
      </c>
      <c r="F43" s="8" t="s">
        <v>39</v>
      </c>
      <c r="G43" s="7"/>
      <c r="H43" s="25">
        <v>227.24</v>
      </c>
      <c r="I43" s="9"/>
    </row>
    <row r="44" spans="1:9">
      <c r="A44" s="5">
        <v>26</v>
      </c>
      <c r="B44" s="15" t="s">
        <v>239</v>
      </c>
      <c r="C44" s="6" t="str">
        <f t="shared" si="1"/>
        <v>여자 35~39세 상주인구 수</v>
      </c>
      <c r="D44" s="7" t="s">
        <v>15</v>
      </c>
      <c r="E44" s="7" t="s">
        <v>16</v>
      </c>
      <c r="F44" s="8" t="s">
        <v>39</v>
      </c>
      <c r="G44" s="7"/>
      <c r="H44" s="25">
        <v>309.12</v>
      </c>
      <c r="I44" s="9"/>
    </row>
    <row r="45" spans="1:9">
      <c r="A45" s="5">
        <v>27</v>
      </c>
      <c r="B45" s="15" t="s">
        <v>240</v>
      </c>
      <c r="C45" s="6" t="str">
        <f t="shared" si="1"/>
        <v>여자 40~44세 상주인구 수</v>
      </c>
      <c r="D45" s="7" t="s">
        <v>15</v>
      </c>
      <c r="E45" s="7" t="s">
        <v>16</v>
      </c>
      <c r="F45" s="8" t="s">
        <v>39</v>
      </c>
      <c r="G45" s="7"/>
      <c r="H45" s="25">
        <v>401.32</v>
      </c>
      <c r="I45" s="9"/>
    </row>
    <row r="46" spans="1:9">
      <c r="A46" s="5">
        <v>28</v>
      </c>
      <c r="B46" s="15" t="s">
        <v>241</v>
      </c>
      <c r="C46" s="6" t="str">
        <f t="shared" si="1"/>
        <v>여자 45~49세 상주인구 수</v>
      </c>
      <c r="D46" s="7" t="s">
        <v>15</v>
      </c>
      <c r="E46" s="7" t="s">
        <v>16</v>
      </c>
      <c r="F46" s="8" t="s">
        <v>39</v>
      </c>
      <c r="G46" s="7"/>
      <c r="H46" s="25">
        <v>423.95</v>
      </c>
      <c r="I46" s="9"/>
    </row>
    <row r="47" spans="1:9">
      <c r="A47" s="5">
        <v>29</v>
      </c>
      <c r="B47" s="15" t="s">
        <v>242</v>
      </c>
      <c r="C47" s="6" t="str">
        <f t="shared" si="1"/>
        <v>여자 50~54세 상주인구 수</v>
      </c>
      <c r="D47" s="7" t="s">
        <v>15</v>
      </c>
      <c r="E47" s="7" t="s">
        <v>16</v>
      </c>
      <c r="F47" s="8" t="s">
        <v>39</v>
      </c>
      <c r="G47" s="7"/>
      <c r="H47" s="25">
        <v>378.08</v>
      </c>
      <c r="I47" s="9"/>
    </row>
    <row r="48" spans="1:9">
      <c r="A48" s="5">
        <v>30</v>
      </c>
      <c r="B48" s="15" t="s">
        <v>243</v>
      </c>
      <c r="C48" s="6" t="str">
        <f t="shared" si="1"/>
        <v>여자 55~59세 상주인구 수</v>
      </c>
      <c r="D48" s="7" t="s">
        <v>15</v>
      </c>
      <c r="E48" s="7" t="s">
        <v>16</v>
      </c>
      <c r="F48" s="8" t="s">
        <v>39</v>
      </c>
      <c r="G48" s="7"/>
      <c r="H48" s="25">
        <v>348.84</v>
      </c>
      <c r="I48" s="9"/>
    </row>
    <row r="49" spans="1:9">
      <c r="A49" s="5">
        <v>31</v>
      </c>
      <c r="B49" s="15" t="s">
        <v>244</v>
      </c>
      <c r="C49" s="6" t="str">
        <f t="shared" si="1"/>
        <v>여자 60~64세 상주인구 수</v>
      </c>
      <c r="D49" s="7" t="s">
        <v>15</v>
      </c>
      <c r="E49" s="7" t="s">
        <v>16</v>
      </c>
      <c r="F49" s="8" t="s">
        <v>39</v>
      </c>
      <c r="G49" s="7"/>
      <c r="H49" s="25">
        <v>283.5</v>
      </c>
      <c r="I49" s="9"/>
    </row>
    <row r="50" spans="1:9">
      <c r="A50" s="5">
        <v>32</v>
      </c>
      <c r="B50" s="15" t="s">
        <v>245</v>
      </c>
      <c r="C50" s="6" t="str">
        <f t="shared" si="1"/>
        <v>여자 65~69세 상주인구 수</v>
      </c>
      <c r="D50" s="7" t="s">
        <v>15</v>
      </c>
      <c r="E50" s="7" t="s">
        <v>16</v>
      </c>
      <c r="F50" s="8" t="s">
        <v>39</v>
      </c>
      <c r="G50" s="7"/>
      <c r="H50" s="25">
        <v>280.73</v>
      </c>
      <c r="I50" s="9"/>
    </row>
    <row r="51" spans="1:9">
      <c r="A51" s="5">
        <v>33</v>
      </c>
      <c r="B51" s="15" t="s">
        <v>246</v>
      </c>
      <c r="C51" s="6" t="str">
        <f t="shared" si="1"/>
        <v>여자 70~74세 상주인구 수</v>
      </c>
      <c r="D51" s="7" t="s">
        <v>15</v>
      </c>
      <c r="E51" s="7" t="s">
        <v>16</v>
      </c>
      <c r="F51" s="8" t="s">
        <v>39</v>
      </c>
      <c r="G51" s="7"/>
      <c r="H51" s="25">
        <v>294.24</v>
      </c>
      <c r="I51" s="9"/>
    </row>
    <row r="52" spans="1:9">
      <c r="A52" s="5">
        <v>34</v>
      </c>
      <c r="B52" s="15" t="s">
        <v>258</v>
      </c>
      <c r="C52" s="6" t="str">
        <f t="shared" si="1"/>
        <v>여자 75~79세 상주인구 수</v>
      </c>
      <c r="D52" s="7" t="s">
        <v>15</v>
      </c>
      <c r="E52" s="7" t="s">
        <v>16</v>
      </c>
      <c r="F52" s="8" t="s">
        <v>39</v>
      </c>
      <c r="G52" s="7"/>
      <c r="H52" s="25">
        <v>252.35</v>
      </c>
      <c r="I52" s="9"/>
    </row>
    <row r="53" spans="1:9" ht="17.25" thickBot="1">
      <c r="A53" s="5">
        <v>35</v>
      </c>
      <c r="B53" s="15" t="s">
        <v>259</v>
      </c>
      <c r="C53" s="6" t="str">
        <f>CONCATENATE("여자 ", RIGHT(B53,2),"세 이상 상주인구 수")</f>
        <v>여자 80세 이상 상주인구 수</v>
      </c>
      <c r="D53" s="7" t="s">
        <v>15</v>
      </c>
      <c r="E53" s="7" t="s">
        <v>16</v>
      </c>
      <c r="F53" s="8" t="s">
        <v>64</v>
      </c>
      <c r="G53" s="7"/>
      <c r="H53" s="25">
        <v>253.88</v>
      </c>
      <c r="I53" s="9"/>
    </row>
    <row r="54" spans="1:9" ht="17.25" thickBot="1">
      <c r="A54" s="49" t="s">
        <v>60</v>
      </c>
      <c r="B54" s="50"/>
      <c r="C54" s="50"/>
      <c r="D54" s="50"/>
      <c r="E54" s="50"/>
      <c r="F54" s="50"/>
      <c r="G54" s="50"/>
      <c r="H54" s="50"/>
      <c r="I54" s="51"/>
    </row>
    <row r="55" spans="1:9">
      <c r="A55" s="37" t="s">
        <v>4</v>
      </c>
      <c r="B55" s="38"/>
      <c r="C55" s="39" t="s">
        <v>69</v>
      </c>
      <c r="D55" s="38"/>
      <c r="E55" s="38"/>
      <c r="F55" s="16" t="s">
        <v>5</v>
      </c>
      <c r="G55" s="40" t="s">
        <v>250</v>
      </c>
      <c r="H55" s="41"/>
      <c r="I55" s="42"/>
    </row>
    <row r="56" spans="1:9">
      <c r="A56" s="43" t="s">
        <v>4</v>
      </c>
      <c r="B56" s="44"/>
      <c r="C56" s="45" t="s">
        <v>70</v>
      </c>
      <c r="D56" s="44"/>
      <c r="E56" s="44"/>
      <c r="F56" s="1" t="s">
        <v>6</v>
      </c>
      <c r="G56" s="46" t="s">
        <v>71</v>
      </c>
      <c r="H56" s="47"/>
      <c r="I56" s="48"/>
    </row>
    <row r="57" spans="1:9" ht="27">
      <c r="A57" s="2" t="s">
        <v>7</v>
      </c>
      <c r="B57" s="3" t="s">
        <v>8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13</v>
      </c>
      <c r="H57" s="24" t="s">
        <v>55</v>
      </c>
      <c r="I57" s="4" t="s">
        <v>14</v>
      </c>
    </row>
    <row r="58" spans="1:9">
      <c r="A58" s="5">
        <v>1</v>
      </c>
      <c r="B58" s="15" t="s">
        <v>255</v>
      </c>
      <c r="C58" s="6" t="s">
        <v>62</v>
      </c>
      <c r="D58" s="7" t="s">
        <v>15</v>
      </c>
      <c r="E58" s="7" t="s">
        <v>16</v>
      </c>
      <c r="F58" s="8" t="s">
        <v>38</v>
      </c>
      <c r="G58" s="7" t="s">
        <v>46</v>
      </c>
      <c r="H58" s="25">
        <v>20230101</v>
      </c>
      <c r="I58" s="9"/>
    </row>
    <row r="59" spans="1:9">
      <c r="A59" s="5">
        <v>2</v>
      </c>
      <c r="B59" s="15" t="s">
        <v>72</v>
      </c>
      <c r="C59" s="6" t="s">
        <v>75</v>
      </c>
      <c r="D59" s="7" t="s">
        <v>15</v>
      </c>
      <c r="E59" s="7" t="s">
        <v>16</v>
      </c>
      <c r="F59" s="8" t="s">
        <v>38</v>
      </c>
      <c r="G59" s="7" t="s">
        <v>79</v>
      </c>
      <c r="H59" s="25">
        <v>0</v>
      </c>
      <c r="I59" s="9"/>
    </row>
    <row r="60" spans="1:9">
      <c r="A60" s="5">
        <v>3</v>
      </c>
      <c r="B60" s="15" t="s">
        <v>256</v>
      </c>
      <c r="C60" s="6" t="s">
        <v>61</v>
      </c>
      <c r="D60" s="7" t="s">
        <v>77</v>
      </c>
      <c r="E60" s="7" t="s">
        <v>16</v>
      </c>
      <c r="F60" s="8" t="s">
        <v>38</v>
      </c>
      <c r="G60" s="7" t="s">
        <v>66</v>
      </c>
      <c r="H60" s="25">
        <v>11380690</v>
      </c>
      <c r="I60" s="9"/>
    </row>
    <row r="61" spans="1:9">
      <c r="A61" s="18">
        <v>4</v>
      </c>
      <c r="B61" s="19" t="s">
        <v>73</v>
      </c>
      <c r="C61" s="20" t="s">
        <v>76</v>
      </c>
      <c r="D61" s="7" t="s">
        <v>15</v>
      </c>
      <c r="E61" s="7" t="s">
        <v>16</v>
      </c>
      <c r="F61" s="8" t="s">
        <v>38</v>
      </c>
      <c r="G61" s="21"/>
      <c r="H61" s="26" t="s">
        <v>80</v>
      </c>
      <c r="I61" s="23"/>
    </row>
    <row r="62" spans="1:9" ht="17.25" thickBot="1">
      <c r="A62" s="10">
        <v>5</v>
      </c>
      <c r="B62" s="17" t="s">
        <v>74</v>
      </c>
      <c r="C62" s="11" t="s">
        <v>84</v>
      </c>
      <c r="D62" s="12" t="s">
        <v>15</v>
      </c>
      <c r="E62" s="12" t="s">
        <v>16</v>
      </c>
      <c r="F62" s="13" t="s">
        <v>64</v>
      </c>
      <c r="G62" s="12"/>
      <c r="H62" s="27">
        <v>2953</v>
      </c>
      <c r="I62" s="14"/>
    </row>
    <row r="63" spans="1:9" ht="17.25" thickBot="1">
      <c r="A63" s="49" t="s">
        <v>60</v>
      </c>
      <c r="B63" s="50"/>
      <c r="C63" s="50"/>
      <c r="D63" s="50"/>
      <c r="E63" s="50"/>
      <c r="F63" s="50"/>
      <c r="G63" s="50"/>
      <c r="H63" s="50"/>
      <c r="I63" s="51"/>
    </row>
    <row r="64" spans="1:9">
      <c r="A64" s="37" t="s">
        <v>4</v>
      </c>
      <c r="B64" s="38"/>
      <c r="C64" s="39" t="s">
        <v>253</v>
      </c>
      <c r="D64" s="38"/>
      <c r="E64" s="38"/>
      <c r="F64" s="16" t="s">
        <v>5</v>
      </c>
      <c r="G64" s="40" t="s">
        <v>251</v>
      </c>
      <c r="H64" s="41"/>
      <c r="I64" s="42"/>
    </row>
    <row r="65" spans="1:9">
      <c r="A65" s="43" t="s">
        <v>4</v>
      </c>
      <c r="B65" s="44"/>
      <c r="C65" s="45" t="s">
        <v>252</v>
      </c>
      <c r="D65" s="44"/>
      <c r="E65" s="44"/>
      <c r="F65" s="1" t="s">
        <v>6</v>
      </c>
      <c r="G65" s="46" t="s">
        <v>71</v>
      </c>
      <c r="H65" s="47"/>
      <c r="I65" s="48"/>
    </row>
    <row r="66" spans="1:9" ht="27">
      <c r="A66" s="2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</v>
      </c>
      <c r="H66" s="24" t="s">
        <v>55</v>
      </c>
      <c r="I66" s="4" t="s">
        <v>14</v>
      </c>
    </row>
    <row r="67" spans="1:9">
      <c r="A67" s="5">
        <v>1</v>
      </c>
      <c r="B67" s="15" t="s">
        <v>257</v>
      </c>
      <c r="C67" s="6" t="s">
        <v>62</v>
      </c>
      <c r="D67" s="7" t="s">
        <v>15</v>
      </c>
      <c r="E67" s="7" t="s">
        <v>16</v>
      </c>
      <c r="F67" s="8" t="s">
        <v>38</v>
      </c>
      <c r="G67" s="7" t="s">
        <v>46</v>
      </c>
      <c r="H67" s="25">
        <v>20230101</v>
      </c>
      <c r="I67" s="9"/>
    </row>
    <row r="68" spans="1:9">
      <c r="A68" s="5">
        <v>2</v>
      </c>
      <c r="B68" s="15" t="s">
        <v>72</v>
      </c>
      <c r="C68" s="6" t="s">
        <v>75</v>
      </c>
      <c r="D68" s="7" t="s">
        <v>15</v>
      </c>
      <c r="E68" s="7" t="s">
        <v>16</v>
      </c>
      <c r="F68" s="8" t="s">
        <v>38</v>
      </c>
      <c r="G68" s="7" t="s">
        <v>79</v>
      </c>
      <c r="H68" s="25">
        <v>0</v>
      </c>
      <c r="I68" s="9"/>
    </row>
    <row r="69" spans="1:9">
      <c r="A69" s="5">
        <v>3</v>
      </c>
      <c r="B69" s="15" t="s">
        <v>256</v>
      </c>
      <c r="C69" s="6" t="s">
        <v>61</v>
      </c>
      <c r="D69" s="7" t="s">
        <v>77</v>
      </c>
      <c r="E69" s="7" t="s">
        <v>16</v>
      </c>
      <c r="F69" s="8" t="s">
        <v>38</v>
      </c>
      <c r="G69" s="7" t="s">
        <v>66</v>
      </c>
      <c r="H69" s="25">
        <v>11380690</v>
      </c>
      <c r="I69" s="9"/>
    </row>
    <row r="70" spans="1:9">
      <c r="A70" s="18">
        <v>4</v>
      </c>
      <c r="B70" s="19" t="s">
        <v>81</v>
      </c>
      <c r="C70" s="20" t="s">
        <v>82</v>
      </c>
      <c r="D70" s="7" t="s">
        <v>15</v>
      </c>
      <c r="E70" s="7" t="s">
        <v>16</v>
      </c>
      <c r="F70" s="8" t="s">
        <v>38</v>
      </c>
      <c r="G70" s="21"/>
      <c r="H70" s="26" t="s">
        <v>85</v>
      </c>
      <c r="I70" s="23"/>
    </row>
    <row r="71" spans="1:9" ht="17.25" thickBot="1">
      <c r="A71" s="10">
        <v>5</v>
      </c>
      <c r="B71" s="17" t="s">
        <v>74</v>
      </c>
      <c r="C71" s="11" t="s">
        <v>83</v>
      </c>
      <c r="D71" s="12" t="s">
        <v>15</v>
      </c>
      <c r="E71" s="12" t="s">
        <v>16</v>
      </c>
      <c r="F71" s="13" t="s">
        <v>64</v>
      </c>
      <c r="G71" s="12"/>
      <c r="H71" s="27">
        <v>667</v>
      </c>
      <c r="I71" s="14"/>
    </row>
    <row r="72" spans="1:9" ht="17.25" thickBot="1">
      <c r="A72" s="49" t="s">
        <v>60</v>
      </c>
      <c r="B72" s="50"/>
      <c r="C72" s="50"/>
      <c r="D72" s="50"/>
      <c r="E72" s="50"/>
      <c r="F72" s="50"/>
      <c r="G72" s="50"/>
      <c r="H72" s="50"/>
      <c r="I72" s="51"/>
    </row>
    <row r="73" spans="1:9">
      <c r="A73" s="37" t="s">
        <v>4</v>
      </c>
      <c r="B73" s="38"/>
      <c r="C73" s="39" t="s">
        <v>86</v>
      </c>
      <c r="D73" s="38"/>
      <c r="E73" s="38"/>
      <c r="F73" s="16" t="s">
        <v>5</v>
      </c>
      <c r="G73" s="40" t="s">
        <v>212</v>
      </c>
      <c r="H73" s="41"/>
      <c r="I73" s="42"/>
    </row>
    <row r="74" spans="1:9">
      <c r="A74" s="43" t="s">
        <v>4</v>
      </c>
      <c r="B74" s="44"/>
      <c r="C74" s="45" t="s">
        <v>87</v>
      </c>
      <c r="D74" s="44"/>
      <c r="E74" s="44"/>
      <c r="F74" s="1" t="s">
        <v>6</v>
      </c>
      <c r="G74" s="46"/>
      <c r="H74" s="47"/>
      <c r="I74" s="48"/>
    </row>
    <row r="75" spans="1:9" ht="27">
      <c r="A75" s="2" t="s">
        <v>7</v>
      </c>
      <c r="B75" s="3" t="s">
        <v>8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13</v>
      </c>
      <c r="H75" s="24" t="s">
        <v>55</v>
      </c>
      <c r="I75" s="4" t="s">
        <v>14</v>
      </c>
    </row>
    <row r="76" spans="1:9">
      <c r="A76" s="5">
        <v>1</v>
      </c>
      <c r="B76" s="15" t="s">
        <v>88</v>
      </c>
      <c r="C76" s="6" t="s">
        <v>91</v>
      </c>
      <c r="D76" s="7" t="s">
        <v>15</v>
      </c>
      <c r="E76" s="7" t="s">
        <v>16</v>
      </c>
      <c r="F76" s="8" t="s">
        <v>38</v>
      </c>
      <c r="G76" s="7" t="s">
        <v>46</v>
      </c>
      <c r="H76" s="25" t="s">
        <v>94</v>
      </c>
      <c r="I76" s="9"/>
    </row>
    <row r="77" spans="1:9">
      <c r="A77" s="5">
        <v>2</v>
      </c>
      <c r="B77" s="15" t="s">
        <v>89</v>
      </c>
      <c r="C77" s="6" t="s">
        <v>92</v>
      </c>
      <c r="D77" s="7" t="s">
        <v>15</v>
      </c>
      <c r="E77" s="7" t="s">
        <v>16</v>
      </c>
      <c r="F77" s="8" t="s">
        <v>38</v>
      </c>
      <c r="G77" s="7" t="s">
        <v>79</v>
      </c>
      <c r="H77" s="25">
        <v>1127125</v>
      </c>
      <c r="I77" s="9" t="s">
        <v>213</v>
      </c>
    </row>
    <row r="78" spans="1:9" ht="17.25" thickBot="1">
      <c r="A78" s="10">
        <v>3</v>
      </c>
      <c r="B78" s="17" t="s">
        <v>90</v>
      </c>
      <c r="C78" s="11" t="s">
        <v>93</v>
      </c>
      <c r="D78" s="12" t="s">
        <v>77</v>
      </c>
      <c r="E78" s="12" t="s">
        <v>16</v>
      </c>
      <c r="F78" s="13" t="s">
        <v>38</v>
      </c>
      <c r="G78" s="12" t="s">
        <v>78</v>
      </c>
      <c r="H78" s="27">
        <v>1682625</v>
      </c>
      <c r="I78" s="9" t="s">
        <v>213</v>
      </c>
    </row>
    <row r="79" spans="1:9" ht="17.25" thickBot="1">
      <c r="A79" s="49" t="s">
        <v>60</v>
      </c>
      <c r="B79" s="50"/>
      <c r="C79" s="50"/>
      <c r="D79" s="50"/>
      <c r="E79" s="50"/>
      <c r="F79" s="50"/>
      <c r="G79" s="50"/>
      <c r="H79" s="50"/>
      <c r="I79" s="51"/>
    </row>
  </sheetData>
  <mergeCells count="36">
    <mergeCell ref="A74:B74"/>
    <mergeCell ref="C74:E74"/>
    <mergeCell ref="G74:I74"/>
    <mergeCell ref="A79:I79"/>
    <mergeCell ref="A65:B65"/>
    <mergeCell ref="C65:E65"/>
    <mergeCell ref="G65:I65"/>
    <mergeCell ref="A72:I72"/>
    <mergeCell ref="A73:B73"/>
    <mergeCell ref="C73:E73"/>
    <mergeCell ref="G73:I73"/>
    <mergeCell ref="A56:B56"/>
    <mergeCell ref="C56:E56"/>
    <mergeCell ref="G56:I56"/>
    <mergeCell ref="A63:I63"/>
    <mergeCell ref="A64:B64"/>
    <mergeCell ref="C64:E64"/>
    <mergeCell ref="G64:I64"/>
    <mergeCell ref="A15:I15"/>
    <mergeCell ref="A54:I54"/>
    <mergeCell ref="A55:B55"/>
    <mergeCell ref="C55:E55"/>
    <mergeCell ref="G55:I55"/>
    <mergeCell ref="A16:B16"/>
    <mergeCell ref="C16:E16"/>
    <mergeCell ref="G16:I16"/>
    <mergeCell ref="A17:B17"/>
    <mergeCell ref="C17:E17"/>
    <mergeCell ref="G17:I17"/>
    <mergeCell ref="A1:I1"/>
    <mergeCell ref="A2:B2"/>
    <mergeCell ref="C2:E2"/>
    <mergeCell ref="G2:I2"/>
    <mergeCell ref="A3:B3"/>
    <mergeCell ref="C3:E3"/>
    <mergeCell ref="G3:I3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tabSelected="1" topLeftCell="A2" zoomScale="145" zoomScaleNormal="145" workbookViewId="0">
      <selection activeCell="A2" sqref="A2"/>
    </sheetView>
  </sheetViews>
  <sheetFormatPr defaultRowHeight="16.5"/>
  <cols>
    <col min="1" max="1" width="29" bestFit="1" customWidth="1"/>
    <col min="2" max="2" width="12.625" bestFit="1" customWidth="1"/>
    <col min="3" max="3" width="7.125" bestFit="1" customWidth="1"/>
    <col min="4" max="4" width="20.625" bestFit="1" customWidth="1"/>
  </cols>
  <sheetData>
    <row r="1" spans="1:4">
      <c r="A1" s="30" t="s">
        <v>95</v>
      </c>
      <c r="B1" s="29" t="s">
        <v>96</v>
      </c>
      <c r="C1" s="29" t="s">
        <v>97</v>
      </c>
      <c r="D1" s="30" t="s">
        <v>98</v>
      </c>
    </row>
    <row r="2" spans="1:4">
      <c r="A2" s="15" t="s">
        <v>43</v>
      </c>
      <c r="B2" s="28" t="s">
        <v>2</v>
      </c>
      <c r="C2" s="28" t="s">
        <v>99</v>
      </c>
      <c r="D2" s="15" t="s">
        <v>152</v>
      </c>
    </row>
    <row r="3" spans="1:4">
      <c r="A3" s="15" t="s">
        <v>43</v>
      </c>
      <c r="B3" s="28" t="s">
        <v>2</v>
      </c>
      <c r="C3" s="28" t="s">
        <v>100</v>
      </c>
      <c r="D3" s="15" t="s">
        <v>153</v>
      </c>
    </row>
    <row r="4" spans="1:4">
      <c r="A4" s="15" t="s">
        <v>43</v>
      </c>
      <c r="B4" s="28" t="s">
        <v>2</v>
      </c>
      <c r="C4" s="28" t="s">
        <v>101</v>
      </c>
      <c r="D4" s="15" t="s">
        <v>154</v>
      </c>
    </row>
    <row r="5" spans="1:4">
      <c r="A5" s="15" t="s">
        <v>43</v>
      </c>
      <c r="B5" s="28" t="s">
        <v>2</v>
      </c>
      <c r="C5" s="28" t="s">
        <v>102</v>
      </c>
      <c r="D5" s="15" t="s">
        <v>155</v>
      </c>
    </row>
    <row r="6" spans="1:4">
      <c r="A6" s="15" t="s">
        <v>43</v>
      </c>
      <c r="B6" s="28" t="s">
        <v>2</v>
      </c>
      <c r="C6" s="28" t="s">
        <v>103</v>
      </c>
      <c r="D6" s="15" t="s">
        <v>156</v>
      </c>
    </row>
    <row r="7" spans="1:4">
      <c r="A7" s="15" t="s">
        <v>43</v>
      </c>
      <c r="B7" s="28" t="s">
        <v>2</v>
      </c>
      <c r="C7" s="28" t="s">
        <v>104</v>
      </c>
      <c r="D7" s="15" t="s">
        <v>157</v>
      </c>
    </row>
    <row r="8" spans="1:4">
      <c r="A8" s="15" t="s">
        <v>43</v>
      </c>
      <c r="B8" s="28" t="s">
        <v>2</v>
      </c>
      <c r="C8" s="28" t="s">
        <v>105</v>
      </c>
      <c r="D8" s="15" t="s">
        <v>158</v>
      </c>
    </row>
    <row r="9" spans="1:4">
      <c r="A9" s="15" t="s">
        <v>43</v>
      </c>
      <c r="B9" s="28" t="s">
        <v>2</v>
      </c>
      <c r="C9" s="28" t="s">
        <v>106</v>
      </c>
      <c r="D9" s="15" t="s">
        <v>159</v>
      </c>
    </row>
    <row r="10" spans="1:4">
      <c r="A10" s="15" t="s">
        <v>43</v>
      </c>
      <c r="B10" s="28" t="s">
        <v>2</v>
      </c>
      <c r="C10" s="28" t="s">
        <v>107</v>
      </c>
      <c r="D10" s="15" t="s">
        <v>160</v>
      </c>
    </row>
    <row r="11" spans="1:4">
      <c r="A11" s="15" t="s">
        <v>43</v>
      </c>
      <c r="B11" s="28" t="s">
        <v>23</v>
      </c>
      <c r="C11" s="28" t="s">
        <v>108</v>
      </c>
      <c r="D11" s="15" t="s">
        <v>161</v>
      </c>
    </row>
    <row r="12" spans="1:4">
      <c r="A12" s="15" t="s">
        <v>43</v>
      </c>
      <c r="B12" s="28" t="s">
        <v>23</v>
      </c>
      <c r="C12" s="28" t="s">
        <v>109</v>
      </c>
      <c r="D12" s="15" t="s">
        <v>162</v>
      </c>
    </row>
    <row r="13" spans="1:4">
      <c r="A13" s="15" t="s">
        <v>43</v>
      </c>
      <c r="B13" s="28" t="s">
        <v>23</v>
      </c>
      <c r="C13" s="28" t="s">
        <v>110</v>
      </c>
      <c r="D13" s="15" t="s">
        <v>163</v>
      </c>
    </row>
    <row r="14" spans="1:4">
      <c r="A14" s="15" t="s">
        <v>43</v>
      </c>
      <c r="B14" s="28" t="s">
        <v>23</v>
      </c>
      <c r="C14" s="28" t="s">
        <v>111</v>
      </c>
      <c r="D14" s="15" t="s">
        <v>164</v>
      </c>
    </row>
    <row r="15" spans="1:4">
      <c r="A15" s="15" t="s">
        <v>43</v>
      </c>
      <c r="B15" s="28" t="s">
        <v>23</v>
      </c>
      <c r="C15" s="28" t="s">
        <v>112</v>
      </c>
      <c r="D15" s="15" t="s">
        <v>165</v>
      </c>
    </row>
    <row r="16" spans="1:4">
      <c r="A16" s="15" t="s">
        <v>43</v>
      </c>
      <c r="B16" s="28" t="s">
        <v>23</v>
      </c>
      <c r="C16" s="28" t="s">
        <v>113</v>
      </c>
      <c r="D16" s="15" t="s">
        <v>166</v>
      </c>
    </row>
    <row r="17" spans="1:4">
      <c r="A17" s="15" t="s">
        <v>43</v>
      </c>
      <c r="B17" s="28" t="s">
        <v>23</v>
      </c>
      <c r="C17" s="28" t="s">
        <v>114</v>
      </c>
      <c r="D17" s="15" t="s">
        <v>167</v>
      </c>
    </row>
    <row r="18" spans="1:4">
      <c r="A18" s="15" t="s">
        <v>43</v>
      </c>
      <c r="B18" s="28" t="s">
        <v>1</v>
      </c>
      <c r="C18" s="28" t="s">
        <v>58</v>
      </c>
      <c r="D18" s="15" t="s">
        <v>168</v>
      </c>
    </row>
    <row r="19" spans="1:4">
      <c r="A19" s="15" t="s">
        <v>43</v>
      </c>
      <c r="B19" s="28" t="s">
        <v>1</v>
      </c>
      <c r="C19" s="28" t="s">
        <v>115</v>
      </c>
      <c r="D19" s="15" t="s">
        <v>169</v>
      </c>
    </row>
    <row r="20" spans="1:4">
      <c r="A20" s="15" t="s">
        <v>43</v>
      </c>
      <c r="B20" s="28" t="s">
        <v>17</v>
      </c>
      <c r="C20" s="28" t="s">
        <v>116</v>
      </c>
      <c r="D20" s="15" t="str">
        <f>CONCATENATE(LEFT(C20,2),"시", RIGHT(C20,2),"분~",LEFT(C20,2),"시59분")</f>
        <v>00시00분~00시59분</v>
      </c>
    </row>
    <row r="21" spans="1:4">
      <c r="A21" s="15" t="s">
        <v>43</v>
      </c>
      <c r="B21" s="28" t="s">
        <v>17</v>
      </c>
      <c r="C21" s="28" t="s">
        <v>117</v>
      </c>
      <c r="D21" s="15" t="str">
        <f>CONCATENATE(LEFT(C21,2),"시", RIGHT(C21,2),"분~",LEFT(C21,2),"시59분")</f>
        <v>01시00분~01시59분</v>
      </c>
    </row>
    <row r="22" spans="1:4">
      <c r="A22" s="15" t="s">
        <v>43</v>
      </c>
      <c r="B22" s="28" t="s">
        <v>17</v>
      </c>
      <c r="C22" s="28" t="s">
        <v>118</v>
      </c>
      <c r="D22" s="15" t="str">
        <f>CONCATENATE(LEFT(C22,2),"시", RIGHT(C22,2),"분~",LEFT(C22,2),"시59분")</f>
        <v>02시00분~02시59분</v>
      </c>
    </row>
    <row r="23" spans="1:4">
      <c r="A23" s="15" t="s">
        <v>43</v>
      </c>
      <c r="B23" s="28" t="s">
        <v>17</v>
      </c>
      <c r="C23" s="28" t="s">
        <v>119</v>
      </c>
      <c r="D23" s="15" t="str">
        <f t="shared" ref="D23:D55" si="0">CONCATENATE(LEFT(C23,2),"시", RIGHT(C23,2),"분~",LEFT(C23,2),"시59분")</f>
        <v>03시00분~03시59분</v>
      </c>
    </row>
    <row r="24" spans="1:4">
      <c r="A24" s="15" t="s">
        <v>43</v>
      </c>
      <c r="B24" s="28" t="s">
        <v>17</v>
      </c>
      <c r="C24" s="28" t="s">
        <v>120</v>
      </c>
      <c r="D24" s="15" t="str">
        <f t="shared" si="0"/>
        <v>04시00분~04시59분</v>
      </c>
    </row>
    <row r="25" spans="1:4">
      <c r="A25" s="15" t="s">
        <v>43</v>
      </c>
      <c r="B25" s="28" t="s">
        <v>17</v>
      </c>
      <c r="C25" s="28" t="s">
        <v>121</v>
      </c>
      <c r="D25" s="15" t="str">
        <f t="shared" si="0"/>
        <v>05시00분~05시59분</v>
      </c>
    </row>
    <row r="26" spans="1:4">
      <c r="A26" s="15" t="s">
        <v>43</v>
      </c>
      <c r="B26" s="28" t="s">
        <v>17</v>
      </c>
      <c r="C26" s="28" t="s">
        <v>122</v>
      </c>
      <c r="D26" s="15" t="str">
        <f t="shared" si="0"/>
        <v>06시00분~06시59분</v>
      </c>
    </row>
    <row r="27" spans="1:4">
      <c r="A27" s="15" t="s">
        <v>43</v>
      </c>
      <c r="B27" s="28" t="s">
        <v>17</v>
      </c>
      <c r="C27" s="28" t="s">
        <v>123</v>
      </c>
      <c r="D27" s="15" t="str">
        <f>CONCATENATE(LEFT(C27,2),"시", RIGHT(C27,2),"분~",LEFT(C27,2),"시19분")</f>
        <v>07시00분~07시19분</v>
      </c>
    </row>
    <row r="28" spans="1:4">
      <c r="A28" s="15" t="s">
        <v>43</v>
      </c>
      <c r="B28" s="28" t="s">
        <v>17</v>
      </c>
      <c r="C28" s="28" t="s">
        <v>124</v>
      </c>
      <c r="D28" s="15" t="str">
        <f>CONCATENATE(LEFT(C28,2),"시", RIGHT(C28,2),"분~",LEFT(C28,2),"시39분")</f>
        <v>07시20분~07시39분</v>
      </c>
    </row>
    <row r="29" spans="1:4">
      <c r="A29" s="15" t="s">
        <v>43</v>
      </c>
      <c r="B29" s="28" t="s">
        <v>17</v>
      </c>
      <c r="C29" s="28" t="s">
        <v>125</v>
      </c>
      <c r="D29" s="15" t="str">
        <f t="shared" si="0"/>
        <v>07시40분~07시59분</v>
      </c>
    </row>
    <row r="30" spans="1:4">
      <c r="A30" s="15" t="s">
        <v>43</v>
      </c>
      <c r="B30" s="28" t="s">
        <v>17</v>
      </c>
      <c r="C30" s="28" t="s">
        <v>126</v>
      </c>
      <c r="D30" s="15" t="str">
        <f>CONCATENATE(LEFT(C30,2),"시", RIGHT(C30,2),"분~",LEFT(C30,2),"시19분")</f>
        <v>08시00분~08시19분</v>
      </c>
    </row>
    <row r="31" spans="1:4">
      <c r="A31" s="15" t="s">
        <v>43</v>
      </c>
      <c r="B31" s="28" t="s">
        <v>17</v>
      </c>
      <c r="C31" s="28" t="s">
        <v>127</v>
      </c>
      <c r="D31" s="15" t="str">
        <f>CONCATENATE(LEFT(C31,2),"시", RIGHT(C31,2),"분~",LEFT(C31,2),"시39분")</f>
        <v>08시20분~08시39분</v>
      </c>
    </row>
    <row r="32" spans="1:4">
      <c r="A32" s="15" t="s">
        <v>43</v>
      </c>
      <c r="B32" s="28" t="s">
        <v>17</v>
      </c>
      <c r="C32" s="28" t="s">
        <v>128</v>
      </c>
      <c r="D32" s="15" t="str">
        <f t="shared" si="0"/>
        <v>08시40분~08시59분</v>
      </c>
    </row>
    <row r="33" spans="1:4">
      <c r="A33" s="15" t="s">
        <v>43</v>
      </c>
      <c r="B33" s="28" t="s">
        <v>17</v>
      </c>
      <c r="C33" s="28" t="s">
        <v>129</v>
      </c>
      <c r="D33" s="15" t="str">
        <f>CONCATENATE(LEFT(C33,2),"시", RIGHT(C33,2),"분~",LEFT(C33,2),"시19분")</f>
        <v>09시00분~09시19분</v>
      </c>
    </row>
    <row r="34" spans="1:4">
      <c r="A34" s="15" t="s">
        <v>43</v>
      </c>
      <c r="B34" s="28" t="s">
        <v>17</v>
      </c>
      <c r="C34" s="28" t="s">
        <v>130</v>
      </c>
      <c r="D34" s="15" t="str">
        <f>CONCATENATE(LEFT(C34,2),"시", RIGHT(C34,2),"분~",LEFT(C34,2),"시39분")</f>
        <v>09시20분~09시39분</v>
      </c>
    </row>
    <row r="35" spans="1:4">
      <c r="A35" s="15" t="s">
        <v>43</v>
      </c>
      <c r="B35" s="28" t="s">
        <v>17</v>
      </c>
      <c r="C35" s="28" t="s">
        <v>131</v>
      </c>
      <c r="D35" s="15" t="str">
        <f t="shared" si="0"/>
        <v>09시40분~09시59분</v>
      </c>
    </row>
    <row r="36" spans="1:4">
      <c r="A36" s="15" t="s">
        <v>43</v>
      </c>
      <c r="B36" s="28" t="s">
        <v>17</v>
      </c>
      <c r="C36" s="28" t="s">
        <v>132</v>
      </c>
      <c r="D36" s="15" t="str">
        <f t="shared" si="0"/>
        <v>10시00분~10시59분</v>
      </c>
    </row>
    <row r="37" spans="1:4">
      <c r="A37" s="15" t="s">
        <v>43</v>
      </c>
      <c r="B37" s="28" t="s">
        <v>17</v>
      </c>
      <c r="C37" s="28" t="s">
        <v>133</v>
      </c>
      <c r="D37" s="15" t="str">
        <f t="shared" si="0"/>
        <v>11시00분~11시59분</v>
      </c>
    </row>
    <row r="38" spans="1:4">
      <c r="A38" s="15" t="s">
        <v>43</v>
      </c>
      <c r="B38" s="28" t="s">
        <v>17</v>
      </c>
      <c r="C38" s="28" t="s">
        <v>134</v>
      </c>
      <c r="D38" s="15" t="str">
        <f t="shared" si="0"/>
        <v>12시00분~12시59분</v>
      </c>
    </row>
    <row r="39" spans="1:4">
      <c r="A39" s="15" t="s">
        <v>43</v>
      </c>
      <c r="B39" s="28" t="s">
        <v>17</v>
      </c>
      <c r="C39" s="28" t="s">
        <v>135</v>
      </c>
      <c r="D39" s="15" t="str">
        <f t="shared" si="0"/>
        <v>13시00분~13시59분</v>
      </c>
    </row>
    <row r="40" spans="1:4">
      <c r="A40" s="15" t="s">
        <v>43</v>
      </c>
      <c r="B40" s="28" t="s">
        <v>17</v>
      </c>
      <c r="C40" s="28" t="s">
        <v>136</v>
      </c>
      <c r="D40" s="15" t="str">
        <f t="shared" si="0"/>
        <v>14시00분~14시59분</v>
      </c>
    </row>
    <row r="41" spans="1:4">
      <c r="A41" s="15" t="s">
        <v>43</v>
      </c>
      <c r="B41" s="28" t="s">
        <v>17</v>
      </c>
      <c r="C41" s="28" t="s">
        <v>137</v>
      </c>
      <c r="D41" s="15" t="str">
        <f t="shared" si="0"/>
        <v>15시00분~15시59분</v>
      </c>
    </row>
    <row r="42" spans="1:4">
      <c r="A42" s="15" t="s">
        <v>43</v>
      </c>
      <c r="B42" s="28" t="s">
        <v>17</v>
      </c>
      <c r="C42" s="28" t="s">
        <v>138</v>
      </c>
      <c r="D42" s="15" t="str">
        <f t="shared" si="0"/>
        <v>16시00분~16시59분</v>
      </c>
    </row>
    <row r="43" spans="1:4">
      <c r="A43" s="15" t="s">
        <v>43</v>
      </c>
      <c r="B43" s="28" t="s">
        <v>17</v>
      </c>
      <c r="C43" s="28" t="s">
        <v>139</v>
      </c>
      <c r="D43" s="15" t="str">
        <f>CONCATENATE(LEFT(C43,2),"시", RIGHT(C43,2),"분~",LEFT(C43,2),"시19분")</f>
        <v>17시00분~17시19분</v>
      </c>
    </row>
    <row r="44" spans="1:4">
      <c r="A44" s="15" t="s">
        <v>43</v>
      </c>
      <c r="B44" s="28" t="s">
        <v>17</v>
      </c>
      <c r="C44" s="28" t="s">
        <v>140</v>
      </c>
      <c r="D44" s="15" t="str">
        <f>CONCATENATE(LEFT(C44,2),"시", RIGHT(C44,2),"분~",LEFT(C44,2),"시39분")</f>
        <v>17시20분~17시39분</v>
      </c>
    </row>
    <row r="45" spans="1:4">
      <c r="A45" s="15" t="s">
        <v>43</v>
      </c>
      <c r="B45" s="28" t="s">
        <v>17</v>
      </c>
      <c r="C45" s="28" t="s">
        <v>141</v>
      </c>
      <c r="D45" s="15" t="str">
        <f t="shared" si="0"/>
        <v>17시40분~17시59분</v>
      </c>
    </row>
    <row r="46" spans="1:4">
      <c r="A46" s="15" t="s">
        <v>43</v>
      </c>
      <c r="B46" s="28" t="s">
        <v>17</v>
      </c>
      <c r="C46" s="28" t="s">
        <v>142</v>
      </c>
      <c r="D46" s="15" t="str">
        <f>CONCATENATE(LEFT(C46,2),"시", RIGHT(C46,2),"분~",LEFT(C46,2),"시19분")</f>
        <v>18시00분~18시19분</v>
      </c>
    </row>
    <row r="47" spans="1:4">
      <c r="A47" s="15" t="s">
        <v>43</v>
      </c>
      <c r="B47" s="28" t="s">
        <v>17</v>
      </c>
      <c r="C47" s="28" t="s">
        <v>143</v>
      </c>
      <c r="D47" s="15" t="str">
        <f>CONCATENATE(LEFT(C47,2),"시", RIGHT(C47,2),"분~",LEFT(C47,2),"시39분")</f>
        <v>18시20분~18시39분</v>
      </c>
    </row>
    <row r="48" spans="1:4">
      <c r="A48" s="15" t="s">
        <v>43</v>
      </c>
      <c r="B48" s="28" t="s">
        <v>17</v>
      </c>
      <c r="C48" s="28" t="s">
        <v>144</v>
      </c>
      <c r="D48" s="15" t="str">
        <f t="shared" si="0"/>
        <v>18시40분~18시59분</v>
      </c>
    </row>
    <row r="49" spans="1:4">
      <c r="A49" s="15" t="s">
        <v>43</v>
      </c>
      <c r="B49" s="28" t="s">
        <v>17</v>
      </c>
      <c r="C49" s="28" t="s">
        <v>145</v>
      </c>
      <c r="D49" s="15" t="str">
        <f>CONCATENATE(LEFT(C49,2),"시", RIGHT(C49,2),"분~",LEFT(C49,2),"시19분")</f>
        <v>19시00분~19시19분</v>
      </c>
    </row>
    <row r="50" spans="1:4">
      <c r="A50" s="15" t="s">
        <v>43</v>
      </c>
      <c r="B50" s="28" t="s">
        <v>17</v>
      </c>
      <c r="C50" s="28" t="s">
        <v>146</v>
      </c>
      <c r="D50" s="15" t="str">
        <f>CONCATENATE(LEFT(C50,2),"시", RIGHT(C50,2),"분~",LEFT(C50,2),"시39분")</f>
        <v>19시20분~19시39분</v>
      </c>
    </row>
    <row r="51" spans="1:4">
      <c r="A51" s="15" t="s">
        <v>43</v>
      </c>
      <c r="B51" s="28" t="s">
        <v>17</v>
      </c>
      <c r="C51" s="28" t="s">
        <v>147</v>
      </c>
      <c r="D51" s="15" t="str">
        <f t="shared" si="0"/>
        <v>19시40분~19시59분</v>
      </c>
    </row>
    <row r="52" spans="1:4">
      <c r="A52" s="15" t="s">
        <v>43</v>
      </c>
      <c r="B52" s="28" t="s">
        <v>17</v>
      </c>
      <c r="C52" s="28" t="s">
        <v>148</v>
      </c>
      <c r="D52" s="15" t="str">
        <f t="shared" si="0"/>
        <v>20시00분~20시59분</v>
      </c>
    </row>
    <row r="53" spans="1:4">
      <c r="A53" s="15" t="s">
        <v>43</v>
      </c>
      <c r="B53" s="28" t="s">
        <v>17</v>
      </c>
      <c r="C53" s="28" t="s">
        <v>149</v>
      </c>
      <c r="D53" s="15" t="str">
        <f t="shared" si="0"/>
        <v>21시00분~21시59분</v>
      </c>
    </row>
    <row r="54" spans="1:4">
      <c r="A54" s="15" t="s">
        <v>43</v>
      </c>
      <c r="B54" s="28" t="s">
        <v>17</v>
      </c>
      <c r="C54" s="28" t="s">
        <v>150</v>
      </c>
      <c r="D54" s="15" t="str">
        <f t="shared" si="0"/>
        <v>22시00분~22시59분</v>
      </c>
    </row>
    <row r="55" spans="1:4">
      <c r="A55" s="15" t="s">
        <v>43</v>
      </c>
      <c r="B55" s="28" t="s">
        <v>17</v>
      </c>
      <c r="C55" s="28" t="s">
        <v>151</v>
      </c>
      <c r="D55" s="15" t="str">
        <f t="shared" si="0"/>
        <v>23시00분~23시59분</v>
      </c>
    </row>
    <row r="56" spans="1:4">
      <c r="A56" s="15" t="s">
        <v>170</v>
      </c>
      <c r="B56" s="28" t="s">
        <v>182</v>
      </c>
      <c r="C56" s="28" t="s">
        <v>183</v>
      </c>
      <c r="D56" s="15" t="str">
        <f>CONCATENATE("여자", RIGHT(C56,2),"세~",RIGHT(C56,2)+4,"세")</f>
        <v>여자10세~14세</v>
      </c>
    </row>
    <row r="57" spans="1:4">
      <c r="A57" s="15" t="s">
        <v>170</v>
      </c>
      <c r="B57" s="28" t="s">
        <v>182</v>
      </c>
      <c r="C57" s="28" t="s">
        <v>184</v>
      </c>
      <c r="D57" s="15" t="str">
        <f t="shared" ref="D57:D68" si="1">CONCATENATE("여자", RIGHT(C57,2),"세~",RIGHT(C57,2)+4,"세")</f>
        <v>여자15세~19세</v>
      </c>
    </row>
    <row r="58" spans="1:4">
      <c r="A58" s="15" t="s">
        <v>170</v>
      </c>
      <c r="B58" s="28" t="s">
        <v>182</v>
      </c>
      <c r="C58" s="28" t="s">
        <v>185</v>
      </c>
      <c r="D58" s="15" t="str">
        <f t="shared" si="1"/>
        <v>여자20세~24세</v>
      </c>
    </row>
    <row r="59" spans="1:4">
      <c r="A59" s="15" t="s">
        <v>170</v>
      </c>
      <c r="B59" s="28" t="s">
        <v>182</v>
      </c>
      <c r="C59" s="28" t="s">
        <v>186</v>
      </c>
      <c r="D59" s="15" t="str">
        <f t="shared" si="1"/>
        <v>여자25세~29세</v>
      </c>
    </row>
    <row r="60" spans="1:4">
      <c r="A60" s="15" t="s">
        <v>170</v>
      </c>
      <c r="B60" s="28" t="s">
        <v>182</v>
      </c>
      <c r="C60" s="28" t="s">
        <v>187</v>
      </c>
      <c r="D60" s="15" t="str">
        <f t="shared" si="1"/>
        <v>여자30세~34세</v>
      </c>
    </row>
    <row r="61" spans="1:4">
      <c r="A61" s="15" t="s">
        <v>170</v>
      </c>
      <c r="B61" s="28" t="s">
        <v>182</v>
      </c>
      <c r="C61" s="28" t="s">
        <v>188</v>
      </c>
      <c r="D61" s="15" t="str">
        <f t="shared" si="1"/>
        <v>여자35세~39세</v>
      </c>
    </row>
    <row r="62" spans="1:4">
      <c r="A62" s="15" t="s">
        <v>170</v>
      </c>
      <c r="B62" s="28" t="s">
        <v>182</v>
      </c>
      <c r="C62" s="28" t="s">
        <v>189</v>
      </c>
      <c r="D62" s="15" t="str">
        <f t="shared" si="1"/>
        <v>여자40세~44세</v>
      </c>
    </row>
    <row r="63" spans="1:4">
      <c r="A63" s="15" t="s">
        <v>170</v>
      </c>
      <c r="B63" s="28" t="s">
        <v>182</v>
      </c>
      <c r="C63" s="28" t="s">
        <v>190</v>
      </c>
      <c r="D63" s="15" t="str">
        <f t="shared" si="1"/>
        <v>여자45세~49세</v>
      </c>
    </row>
    <row r="64" spans="1:4">
      <c r="A64" s="15" t="s">
        <v>170</v>
      </c>
      <c r="B64" s="28" t="s">
        <v>182</v>
      </c>
      <c r="C64" s="28" t="s">
        <v>191</v>
      </c>
      <c r="D64" s="15" t="str">
        <f t="shared" si="1"/>
        <v>여자50세~54세</v>
      </c>
    </row>
    <row r="65" spans="1:4">
      <c r="A65" s="15" t="s">
        <v>170</v>
      </c>
      <c r="B65" s="28" t="s">
        <v>182</v>
      </c>
      <c r="C65" s="28" t="s">
        <v>192</v>
      </c>
      <c r="D65" s="15" t="str">
        <f t="shared" si="1"/>
        <v>여자55세~59세</v>
      </c>
    </row>
    <row r="66" spans="1:4">
      <c r="A66" s="15" t="s">
        <v>170</v>
      </c>
      <c r="B66" s="28" t="s">
        <v>182</v>
      </c>
      <c r="C66" s="28" t="s">
        <v>193</v>
      </c>
      <c r="D66" s="15" t="str">
        <f t="shared" si="1"/>
        <v>여자60세~64세</v>
      </c>
    </row>
    <row r="67" spans="1:4">
      <c r="A67" s="15" t="s">
        <v>170</v>
      </c>
      <c r="B67" s="28" t="s">
        <v>182</v>
      </c>
      <c r="C67" s="28" t="s">
        <v>194</v>
      </c>
      <c r="D67" s="15" t="str">
        <f t="shared" si="1"/>
        <v>여자65세~69세</v>
      </c>
    </row>
    <row r="68" spans="1:4">
      <c r="A68" s="15" t="s">
        <v>170</v>
      </c>
      <c r="B68" s="28" t="s">
        <v>182</v>
      </c>
      <c r="C68" s="28" t="s">
        <v>195</v>
      </c>
      <c r="D68" s="15" t="str">
        <f t="shared" si="1"/>
        <v>여자70세~74세</v>
      </c>
    </row>
    <row r="69" spans="1:4">
      <c r="A69" s="15" t="s">
        <v>170</v>
      </c>
      <c r="B69" s="28" t="s">
        <v>182</v>
      </c>
      <c r="C69" s="28" t="s">
        <v>196</v>
      </c>
      <c r="D69" s="15" t="str">
        <f>CONCATENATE("여자", RIGHT(C69,2),"세 이상")</f>
        <v>여자75세 이상</v>
      </c>
    </row>
    <row r="70" spans="1:4">
      <c r="A70" s="15" t="s">
        <v>170</v>
      </c>
      <c r="B70" s="28" t="s">
        <v>182</v>
      </c>
      <c r="C70" s="28" t="s">
        <v>197</v>
      </c>
      <c r="D70" s="15" t="str">
        <f>CONCATENATE("남자", RIGHT(C70,2),"세~",RIGHT(C70,2)+4,"세")</f>
        <v>남자10세~14세</v>
      </c>
    </row>
    <row r="71" spans="1:4">
      <c r="A71" s="15" t="s">
        <v>170</v>
      </c>
      <c r="B71" s="28" t="s">
        <v>182</v>
      </c>
      <c r="C71" s="28" t="s">
        <v>198</v>
      </c>
      <c r="D71" s="15" t="str">
        <f t="shared" ref="D71:D82" si="2">CONCATENATE("남자", RIGHT(C71,2),"세~",RIGHT(C71,2)+4,"세")</f>
        <v>남자15세~19세</v>
      </c>
    </row>
    <row r="72" spans="1:4">
      <c r="A72" s="15" t="s">
        <v>170</v>
      </c>
      <c r="B72" s="28" t="s">
        <v>182</v>
      </c>
      <c r="C72" s="28" t="s">
        <v>199</v>
      </c>
      <c r="D72" s="15" t="str">
        <f t="shared" si="2"/>
        <v>남자20세~24세</v>
      </c>
    </row>
    <row r="73" spans="1:4">
      <c r="A73" s="15" t="s">
        <v>170</v>
      </c>
      <c r="B73" s="28" t="s">
        <v>182</v>
      </c>
      <c r="C73" s="28" t="s">
        <v>200</v>
      </c>
      <c r="D73" s="15" t="str">
        <f t="shared" si="2"/>
        <v>남자25세~29세</v>
      </c>
    </row>
    <row r="74" spans="1:4">
      <c r="A74" s="15" t="s">
        <v>170</v>
      </c>
      <c r="B74" s="28" t="s">
        <v>182</v>
      </c>
      <c r="C74" s="28" t="s">
        <v>201</v>
      </c>
      <c r="D74" s="15" t="str">
        <f t="shared" si="2"/>
        <v>남자30세~34세</v>
      </c>
    </row>
    <row r="75" spans="1:4">
      <c r="A75" s="15" t="s">
        <v>170</v>
      </c>
      <c r="B75" s="28" t="s">
        <v>182</v>
      </c>
      <c r="C75" s="28" t="s">
        <v>202</v>
      </c>
      <c r="D75" s="15" t="str">
        <f t="shared" si="2"/>
        <v>남자35세~39세</v>
      </c>
    </row>
    <row r="76" spans="1:4">
      <c r="A76" s="15" t="s">
        <v>170</v>
      </c>
      <c r="B76" s="28" t="s">
        <v>182</v>
      </c>
      <c r="C76" s="28" t="s">
        <v>203</v>
      </c>
      <c r="D76" s="15" t="str">
        <f t="shared" si="2"/>
        <v>남자40세~44세</v>
      </c>
    </row>
    <row r="77" spans="1:4">
      <c r="A77" s="15" t="s">
        <v>170</v>
      </c>
      <c r="B77" s="28" t="s">
        <v>182</v>
      </c>
      <c r="C77" s="28" t="s">
        <v>204</v>
      </c>
      <c r="D77" s="15" t="str">
        <f t="shared" si="2"/>
        <v>남자45세~49세</v>
      </c>
    </row>
    <row r="78" spans="1:4">
      <c r="A78" s="15" t="s">
        <v>170</v>
      </c>
      <c r="B78" s="28" t="s">
        <v>182</v>
      </c>
      <c r="C78" s="28" t="s">
        <v>205</v>
      </c>
      <c r="D78" s="15" t="str">
        <f t="shared" si="2"/>
        <v>남자50세~54세</v>
      </c>
    </row>
    <row r="79" spans="1:4">
      <c r="A79" s="15" t="s">
        <v>170</v>
      </c>
      <c r="B79" s="28" t="s">
        <v>182</v>
      </c>
      <c r="C79" s="28" t="s">
        <v>206</v>
      </c>
      <c r="D79" s="15" t="str">
        <f t="shared" si="2"/>
        <v>남자55세~59세</v>
      </c>
    </row>
    <row r="80" spans="1:4">
      <c r="A80" s="15" t="s">
        <v>170</v>
      </c>
      <c r="B80" s="28" t="s">
        <v>182</v>
      </c>
      <c r="C80" s="28" t="s">
        <v>207</v>
      </c>
      <c r="D80" s="15" t="str">
        <f t="shared" si="2"/>
        <v>남자60세~64세</v>
      </c>
    </row>
    <row r="81" spans="1:4">
      <c r="A81" s="15" t="s">
        <v>170</v>
      </c>
      <c r="B81" s="28" t="s">
        <v>182</v>
      </c>
      <c r="C81" s="28" t="s">
        <v>208</v>
      </c>
      <c r="D81" s="15" t="str">
        <f t="shared" si="2"/>
        <v>남자65세~69세</v>
      </c>
    </row>
    <row r="82" spans="1:4">
      <c r="A82" s="15" t="s">
        <v>170</v>
      </c>
      <c r="B82" s="28" t="s">
        <v>182</v>
      </c>
      <c r="C82" s="28" t="s">
        <v>209</v>
      </c>
      <c r="D82" s="15" t="str">
        <f t="shared" si="2"/>
        <v>남자70세~74세</v>
      </c>
    </row>
    <row r="83" spans="1:4">
      <c r="A83" s="15" t="s">
        <v>170</v>
      </c>
      <c r="B83" s="28" t="s">
        <v>182</v>
      </c>
      <c r="C83" s="28" t="s">
        <v>210</v>
      </c>
      <c r="D83" s="15" t="str">
        <f>CONCATENATE("남자", RIGHT(C83,2),"세 이상")</f>
        <v>남자75세 이상</v>
      </c>
    </row>
    <row r="84" spans="1:4">
      <c r="A84" s="31" t="s">
        <v>170</v>
      </c>
      <c r="B84" s="28" t="s">
        <v>171</v>
      </c>
      <c r="C84" s="32" t="s">
        <v>172</v>
      </c>
      <c r="D84" s="15" t="str">
        <f>CONCATENATE(LEFT(C84,2),"시00분~",LEFT(C84,2),"시59분")</f>
        <v>00시00분~00시59분</v>
      </c>
    </row>
    <row r="85" spans="1:4">
      <c r="A85" s="31" t="s">
        <v>170</v>
      </c>
      <c r="B85" s="28" t="s">
        <v>171</v>
      </c>
      <c r="C85" s="32" t="s">
        <v>173</v>
      </c>
      <c r="D85" s="15" t="str">
        <f t="shared" ref="D85:D107" si="3">CONCATENATE(LEFT(C85,2),"시00분~",LEFT(C85,2),"시59분")</f>
        <v>01시00분~01시59분</v>
      </c>
    </row>
    <row r="86" spans="1:4">
      <c r="A86" s="31" t="s">
        <v>170</v>
      </c>
      <c r="B86" s="28" t="s">
        <v>171</v>
      </c>
      <c r="C86" s="32" t="s">
        <v>174</v>
      </c>
      <c r="D86" s="15" t="str">
        <f t="shared" si="3"/>
        <v>02시00분~02시59분</v>
      </c>
    </row>
    <row r="87" spans="1:4">
      <c r="A87" s="31" t="s">
        <v>170</v>
      </c>
      <c r="B87" s="28" t="s">
        <v>171</v>
      </c>
      <c r="C87" s="32" t="s">
        <v>175</v>
      </c>
      <c r="D87" s="15" t="str">
        <f t="shared" si="3"/>
        <v>03시00분~03시59분</v>
      </c>
    </row>
    <row r="88" spans="1:4">
      <c r="A88" s="31" t="s">
        <v>170</v>
      </c>
      <c r="B88" s="28" t="s">
        <v>171</v>
      </c>
      <c r="C88" s="32" t="s">
        <v>176</v>
      </c>
      <c r="D88" s="15" t="str">
        <f t="shared" si="3"/>
        <v>04시00분~04시59분</v>
      </c>
    </row>
    <row r="89" spans="1:4">
      <c r="A89" s="31" t="s">
        <v>170</v>
      </c>
      <c r="B89" s="28" t="s">
        <v>171</v>
      </c>
      <c r="C89" s="32" t="s">
        <v>177</v>
      </c>
      <c r="D89" s="15" t="str">
        <f t="shared" si="3"/>
        <v>05시00분~05시59분</v>
      </c>
    </row>
    <row r="90" spans="1:4">
      <c r="A90" s="31" t="s">
        <v>170</v>
      </c>
      <c r="B90" s="28" t="s">
        <v>171</v>
      </c>
      <c r="C90" s="32" t="s">
        <v>178</v>
      </c>
      <c r="D90" s="15" t="str">
        <f t="shared" si="3"/>
        <v>06시00분~06시59분</v>
      </c>
    </row>
    <row r="91" spans="1:4">
      <c r="A91" s="31" t="s">
        <v>170</v>
      </c>
      <c r="B91" s="28" t="s">
        <v>171</v>
      </c>
      <c r="C91" s="32" t="s">
        <v>179</v>
      </c>
      <c r="D91" s="15" t="str">
        <f t="shared" si="3"/>
        <v>07시00분~07시59분</v>
      </c>
    </row>
    <row r="92" spans="1:4">
      <c r="A92" s="31" t="s">
        <v>170</v>
      </c>
      <c r="B92" s="28" t="s">
        <v>171</v>
      </c>
      <c r="C92" s="32" t="s">
        <v>180</v>
      </c>
      <c r="D92" s="15" t="str">
        <f t="shared" si="3"/>
        <v>08시00분~08시59분</v>
      </c>
    </row>
    <row r="93" spans="1:4">
      <c r="A93" s="31" t="s">
        <v>170</v>
      </c>
      <c r="B93" s="28" t="s">
        <v>171</v>
      </c>
      <c r="C93" s="32" t="s">
        <v>181</v>
      </c>
      <c r="D93" s="15" t="str">
        <f t="shared" si="3"/>
        <v>09시00분~09시59분</v>
      </c>
    </row>
    <row r="94" spans="1:4">
      <c r="A94" s="31" t="s">
        <v>170</v>
      </c>
      <c r="B94" s="28" t="s">
        <v>171</v>
      </c>
      <c r="C94" s="32">
        <v>10</v>
      </c>
      <c r="D94" s="15" t="str">
        <f t="shared" si="3"/>
        <v>10시00분~10시59분</v>
      </c>
    </row>
    <row r="95" spans="1:4">
      <c r="A95" s="31" t="s">
        <v>170</v>
      </c>
      <c r="B95" s="28" t="s">
        <v>171</v>
      </c>
      <c r="C95" s="32">
        <v>11</v>
      </c>
      <c r="D95" s="15" t="str">
        <f t="shared" si="3"/>
        <v>11시00분~11시59분</v>
      </c>
    </row>
    <row r="96" spans="1:4">
      <c r="A96" s="31" t="s">
        <v>170</v>
      </c>
      <c r="B96" s="28" t="s">
        <v>171</v>
      </c>
      <c r="C96" s="32">
        <v>12</v>
      </c>
      <c r="D96" s="15" t="str">
        <f t="shared" si="3"/>
        <v>12시00분~12시59분</v>
      </c>
    </row>
    <row r="97" spans="1:4">
      <c r="A97" s="31" t="s">
        <v>170</v>
      </c>
      <c r="B97" s="28" t="s">
        <v>171</v>
      </c>
      <c r="C97" s="32">
        <v>13</v>
      </c>
      <c r="D97" s="15" t="str">
        <f t="shared" si="3"/>
        <v>13시00분~13시59분</v>
      </c>
    </row>
    <row r="98" spans="1:4">
      <c r="A98" s="31" t="s">
        <v>170</v>
      </c>
      <c r="B98" s="28" t="s">
        <v>171</v>
      </c>
      <c r="C98" s="32">
        <v>14</v>
      </c>
      <c r="D98" s="15" t="str">
        <f t="shared" si="3"/>
        <v>14시00분~14시59분</v>
      </c>
    </row>
    <row r="99" spans="1:4">
      <c r="A99" s="31" t="s">
        <v>170</v>
      </c>
      <c r="B99" s="28" t="s">
        <v>171</v>
      </c>
      <c r="C99" s="32">
        <v>15</v>
      </c>
      <c r="D99" s="15" t="str">
        <f t="shared" si="3"/>
        <v>15시00분~15시59분</v>
      </c>
    </row>
    <row r="100" spans="1:4">
      <c r="A100" s="31" t="s">
        <v>170</v>
      </c>
      <c r="B100" s="28" t="s">
        <v>171</v>
      </c>
      <c r="C100" s="32">
        <v>16</v>
      </c>
      <c r="D100" s="15" t="str">
        <f t="shared" si="3"/>
        <v>16시00분~16시59분</v>
      </c>
    </row>
    <row r="101" spans="1:4">
      <c r="A101" s="31" t="s">
        <v>170</v>
      </c>
      <c r="B101" s="28" t="s">
        <v>171</v>
      </c>
      <c r="C101" s="32">
        <v>17</v>
      </c>
      <c r="D101" s="15" t="str">
        <f t="shared" si="3"/>
        <v>17시00분~17시59분</v>
      </c>
    </row>
    <row r="102" spans="1:4">
      <c r="A102" s="31" t="s">
        <v>170</v>
      </c>
      <c r="B102" s="28" t="s">
        <v>171</v>
      </c>
      <c r="C102" s="32">
        <v>18</v>
      </c>
      <c r="D102" s="15" t="str">
        <f t="shared" si="3"/>
        <v>18시00분~18시59분</v>
      </c>
    </row>
    <row r="103" spans="1:4">
      <c r="A103" s="31" t="s">
        <v>170</v>
      </c>
      <c r="B103" s="28" t="s">
        <v>171</v>
      </c>
      <c r="C103" s="32">
        <v>19</v>
      </c>
      <c r="D103" s="15" t="str">
        <f t="shared" si="3"/>
        <v>19시00분~19시59분</v>
      </c>
    </row>
    <row r="104" spans="1:4">
      <c r="A104" s="31" t="s">
        <v>170</v>
      </c>
      <c r="B104" s="28" t="s">
        <v>171</v>
      </c>
      <c r="C104" s="32">
        <v>20</v>
      </c>
      <c r="D104" s="15" t="str">
        <f t="shared" si="3"/>
        <v>20시00분~20시59분</v>
      </c>
    </row>
    <row r="105" spans="1:4">
      <c r="A105" s="31" t="s">
        <v>170</v>
      </c>
      <c r="B105" s="28" t="s">
        <v>171</v>
      </c>
      <c r="C105" s="32">
        <v>21</v>
      </c>
      <c r="D105" s="15" t="str">
        <f t="shared" si="3"/>
        <v>21시00분~21시59분</v>
      </c>
    </row>
    <row r="106" spans="1:4">
      <c r="A106" s="31" t="s">
        <v>170</v>
      </c>
      <c r="B106" s="28" t="s">
        <v>171</v>
      </c>
      <c r="C106" s="32">
        <v>22</v>
      </c>
      <c r="D106" s="15" t="str">
        <f t="shared" si="3"/>
        <v>22시00분~22시59분</v>
      </c>
    </row>
    <row r="107" spans="1:4">
      <c r="A107" s="31" t="s">
        <v>170</v>
      </c>
      <c r="B107" s="28" t="s">
        <v>171</v>
      </c>
      <c r="C107" s="32">
        <v>23</v>
      </c>
      <c r="D107" s="15" t="str">
        <f t="shared" si="3"/>
        <v>23시00분~23시59분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규격</vt:lpstr>
      <vt:lpstr>코드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최규진</dc:creator>
  <cp:lastModifiedBy>최규진</cp:lastModifiedBy>
  <dcterms:created xsi:type="dcterms:W3CDTF">2025-09-29T06:55:20Z</dcterms:created>
  <dcterms:modified xsi:type="dcterms:W3CDTF">2025-12-15T06:53:06Z</dcterms:modified>
</cp:coreProperties>
</file>